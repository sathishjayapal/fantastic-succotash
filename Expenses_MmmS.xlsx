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" sheetId="1" r:id="rId4"/>
    <sheet state="visible" name="2025" sheetId="2" r:id="rId5"/>
    <sheet state="visible" name="2024" sheetId="3" r:id="rId6"/>
    <sheet state="visible" name="2023" sheetId="4" r:id="rId7"/>
    <sheet state="visible" name="2022" sheetId="5" r:id="rId8"/>
    <sheet state="visible" name="2021" sheetId="6" r:id="rId9"/>
    <sheet state="visible" name="2020" sheetId="7" r:id="rId10"/>
    <sheet state="visible" name="2019" sheetId="8" r:id="rId11"/>
    <sheet state="visible" name="2018" sheetId="9" r:id="rId12"/>
    <sheet state="visible" name="2017" sheetId="10" r:id="rId13"/>
    <sheet state="visible" name="2016" sheetId="11" r:id="rId14"/>
    <sheet state="visible" name="2015" sheetId="12" r:id="rId15"/>
    <sheet state="visible" name="2014" sheetId="13" r:id="rId16"/>
    <sheet state="visible" name="2013" sheetId="14" r:id="rId17"/>
    <sheet state="visible" name="2012" sheetId="15" r:id="rId18"/>
    <sheet state="visible" name="2011" sheetId="16" r:id="rId19"/>
    <sheet state="visible" name="2010" sheetId="17" r:id="rId20"/>
  </sheets>
  <definedNames/>
  <calcPr/>
  <extLst>
    <ext uri="GoogleSheetsCustomDataVersion2">
      <go:sheetsCustomData xmlns:go="http://customooxmlschemas.google.com/" r:id="rId21" roundtripDataChecksum="7TVYQdu3NZ4IJB28kz38GMbmr8UHw2i4ocdxDglsc2o="/>
    </ext>
  </extLst>
</workbook>
</file>

<file path=xl/sharedStrings.xml><?xml version="1.0" encoding="utf-8"?>
<sst xmlns="http://schemas.openxmlformats.org/spreadsheetml/2006/main" count="2071" uniqueCount="923">
  <si>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</si>
  <si>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</si>
  <si>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</si>
  <si>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</si>
  <si>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</si>
  <si>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</si>
  <si>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</si>
  <si>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</si>
  <si>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</si>
  <si>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</si>
  <si>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</si>
  <si>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</si>
  <si>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Home Salary: $8630</t>
  </si>
  <si>
    <t>Salary MBS: $4572</t>
  </si>
  <si>
    <t>159 Home Loan $3250</t>
  </si>
  <si>
    <t>Mohela $31775: $467</t>
  </si>
  <si>
    <t>159 HELOC Loan $27K</t>
  </si>
  <si>
    <t>Edvest:m1: $10K: $500</t>
  </si>
  <si>
    <t>West Bend $494</t>
  </si>
  <si>
    <t>M Xoom NBSLBS: $500</t>
  </si>
  <si>
    <t>SPWL $195</t>
  </si>
  <si>
    <t>m1m2 Swim: $6K</t>
  </si>
  <si>
    <t>We-Energies $25</t>
  </si>
  <si>
    <t>m1m2 Piano: $6K ($2678)</t>
  </si>
  <si>
    <t>AT&amp;T $188</t>
  </si>
  <si>
    <t>m1m2: Tuition $60</t>
  </si>
  <si>
    <t>Betterment/ India $500</t>
  </si>
  <si>
    <t>m1m2 Misc:</t>
  </si>
  <si>
    <t>BOA CC $28K</t>
  </si>
  <si>
    <t>MBS Misc: Amz/Van</t>
  </si>
  <si>
    <t>Amazon CC $542</t>
  </si>
  <si>
    <t>159 Property Tax $16.5K</t>
  </si>
  <si>
    <t>USB 7569 CC $0</t>
  </si>
  <si>
    <t>Total</t>
  </si>
  <si>
    <t>Apple CC $0</t>
  </si>
  <si>
    <t>BALANCE</t>
  </si>
  <si>
    <t xml:space="preserve">Target/ Kohls CC </t>
  </si>
  <si>
    <t>Home Rental 2026</t>
  </si>
  <si>
    <t>Menards/ HDepot CC</t>
  </si>
  <si>
    <t>138 Rental: $2950</t>
  </si>
  <si>
    <t>CitiCostco_SM CC $1511</t>
  </si>
  <si>
    <t xml:space="preserve"> </t>
  </si>
  <si>
    <t>138 - Home Loan $1600</t>
  </si>
  <si>
    <t>CitiCostco_SKM CC</t>
  </si>
  <si>
    <t>Insurance $56</t>
  </si>
  <si>
    <t>Frontier CC/ Chase CC</t>
  </si>
  <si>
    <t>138/159 Tax $11.5+$16.5</t>
  </si>
  <si>
    <t>KKFood</t>
  </si>
  <si>
    <t>Maintenance Repair</t>
  </si>
  <si>
    <t>Misc</t>
  </si>
  <si>
    <t>Misc (Lawn/Snow)</t>
  </si>
  <si>
    <t>KADAN 2026</t>
  </si>
  <si>
    <t>July</t>
  </si>
  <si>
    <t>ASSETS 2026</t>
  </si>
  <si>
    <t>159 Home $611K</t>
  </si>
  <si>
    <t>WI &amp; USB Pension</t>
  </si>
  <si>
    <t>138 Home $335K</t>
  </si>
  <si>
    <t>WDC &amp; 401K</t>
  </si>
  <si>
    <t>159 Property Tax $16K</t>
  </si>
  <si>
    <t>HSA</t>
  </si>
  <si>
    <t>HELOC $19.5K</t>
  </si>
  <si>
    <t>Betterment</t>
  </si>
  <si>
    <t>BOA CC $31K</t>
  </si>
  <si>
    <t>Home 138, 159</t>
  </si>
  <si>
    <t>Mohela $32K</t>
  </si>
  <si>
    <t>Gold</t>
  </si>
  <si>
    <t>m1 Contribution to Edvest 2027-2031</t>
  </si>
  <si>
    <t>COLLEGE FUND FOR GIRLS: m1 (2027) &amp; m2 (2030) $119,873</t>
  </si>
  <si>
    <t>m1 Edvest A/c 2027-2031 $58,437</t>
  </si>
  <si>
    <t>m2 Edvest A/c 2030-2034 $61,731</t>
  </si>
  <si>
    <t>2025 Expenses 1st-15th</t>
  </si>
  <si>
    <t>Bal Amt - End</t>
  </si>
  <si>
    <t xml:space="preserve">2025 Expenses 1-15th </t>
  </si>
  <si>
    <t>Balance</t>
  </si>
  <si>
    <t xml:space="preserve">Aug </t>
  </si>
  <si>
    <t>Primary Income: $4315 + $4315 = $8630</t>
  </si>
  <si>
    <t>SECONDARY INCOME ($1,539+$760=$2299)</t>
  </si>
  <si>
    <t>159 Longview Pkwy - Home ($3250)</t>
  </si>
  <si>
    <t>MS LLM &amp; 159 Home: Stu Loan ($29K 159 Downpay)/Kaplan</t>
  </si>
  <si>
    <t>West Bend Insurance ($469)</t>
  </si>
  <si>
    <t>MS Pocket Expense $300 (MmmS)/ Travel/Misc Expenses</t>
  </si>
  <si>
    <t>We-Energies + SPWL ($250) + AT&amp;T ($173)</t>
  </si>
  <si>
    <t>m1m2 Piano (Jan 2K, June 1.2K, Sep $2,678)/ SA Swim</t>
  </si>
  <si>
    <t>SM - Citi Costco [Monthly CC] $0 as of 12.19.25</t>
  </si>
  <si>
    <t>m1 Tuition for Calc AB/BC/ ACT Princeton Review</t>
  </si>
  <si>
    <t>SM - SKM CC/ SKM USB4287 $1K as of 5.30.25</t>
  </si>
  <si>
    <t>m1: SPWHS APHUG (Aug'24-May'25:$100*10=$1K) + MC $12K (Engineering Pre-Major) (Sep'25-Aug'27: $250*24)</t>
  </si>
  <si>
    <t>SM - BoA CC (0% May '26): $17750+$14750K+$4K</t>
  </si>
  <si>
    <t>M Zelle NBS&amp;LB</t>
  </si>
  <si>
    <t xml:space="preserve">                                                                                                                           </t>
  </si>
  <si>
    <t>SM - USB HELOC: $13K SKMP CC + $7K (7.5%)</t>
  </si>
  <si>
    <t>Total Expense_1</t>
  </si>
  <si>
    <t>SM - Apple Card/ USB CC 7569/ USB LoC 0394</t>
  </si>
  <si>
    <t>SM - Target/Kohls/HDepot/Menards</t>
  </si>
  <si>
    <t xml:space="preserve">2025 Expenses 15-30th </t>
  </si>
  <si>
    <t xml:space="preserve">SM - Amazon ($0 as of 10.24.25) </t>
  </si>
  <si>
    <t>S - Betterment/S-India $125</t>
  </si>
  <si>
    <t>SM - Miscellaneous (m1m2 math/prop tax)</t>
  </si>
  <si>
    <t>MS LLM &amp; 159 Home: Student Loan/ m1 Summer Program</t>
  </si>
  <si>
    <t>MS Pocket Expense $300 (MmmS)/ Travel Expenses/Misc</t>
  </si>
  <si>
    <t>m1m2 Piano (Jan 2K, June 1.2K, Sep 2.7K)/Swim</t>
  </si>
  <si>
    <t>2025 Expenses 15th-30th</t>
  </si>
  <si>
    <t>m1 AP Chem IIT Prof/AP Physics 1/CalcAB/Exam Fees</t>
  </si>
  <si>
    <t>West Bend Insurance $469</t>
  </si>
  <si>
    <t>Total Expense_2</t>
  </si>
  <si>
    <t>We-Energies + SPWL ($250)</t>
  </si>
  <si>
    <t>SM - Citi Costco [Monthly running CC]</t>
  </si>
  <si>
    <t>TOTAL BALANCE FOR THE MONTH</t>
  </si>
  <si>
    <t>SM - SKMINFO Citi Costco CC/ SKM USB Checking A/c: $0 as of Nov 2025</t>
  </si>
  <si>
    <t>RENTAL INCOME ($2,950) + Deposits ($7,900)</t>
  </si>
  <si>
    <t>138 N. Wildwood St (Mortgage IB) $1600</t>
  </si>
  <si>
    <t>138 N. Wildwood st Misc Exp: Lawn/Snow</t>
  </si>
  <si>
    <t>S - India/Betterment $375</t>
  </si>
  <si>
    <t>138 N. Wildwood st  Ins (Ins)</t>
  </si>
  <si>
    <t>SM - Misc (Prop tax = Jan $7,559.62 &amp; Jul $7,381.78)=$14,941.40</t>
  </si>
  <si>
    <t>Misc CC</t>
  </si>
  <si>
    <t>Total Expenses</t>
  </si>
  <si>
    <t>Misc (Prop tax = Jan $5,561.42 &amp; Jul $5,383.57= $10,944.99)</t>
  </si>
  <si>
    <t>Grand Total</t>
  </si>
  <si>
    <t>TOTAL EXPENSES</t>
  </si>
  <si>
    <t>Grand Balance</t>
  </si>
  <si>
    <t>USB CC 7569</t>
  </si>
  <si>
    <t>COLLEGE FUND FOR GIRLS: m1 (2027) &amp; m2 (2030)</t>
  </si>
  <si>
    <t xml:space="preserve">CitiCostco CC SKM </t>
  </si>
  <si>
    <t>m1 Edvest A/c 2027-2031</t>
  </si>
  <si>
    <t>Amazon</t>
  </si>
  <si>
    <t>m2 Edvest A/c 2030-2034</t>
  </si>
  <si>
    <t>VACATION MmmS - MBS/ SKJ</t>
  </si>
  <si>
    <t>Disney Dec'24</t>
  </si>
  <si>
    <r>
      <rPr>
        <rFont val="Arial"/>
        <color theme="1"/>
      </rPr>
      <t>Utah Mar'25 (CitiCostco$1229+Frontier$718+Apple$</t>
    </r>
    <r>
      <rPr>
        <rFont val="Arial"/>
        <b/>
        <color theme="1"/>
      </rPr>
      <t>484</t>
    </r>
    <r>
      <rPr>
        <rFont val="Arial"/>
        <color theme="1"/>
      </rPr>
      <t>)</t>
    </r>
  </si>
  <si>
    <r>
      <rPr>
        <rFont val="Arial"/>
        <color theme="1"/>
      </rPr>
      <t>YellowStone Aug'25 (CaptialOne$</t>
    </r>
    <r>
      <rPr>
        <rFont val="Arial"/>
        <b/>
        <color theme="1"/>
      </rPr>
      <t>320</t>
    </r>
    <r>
      <rPr>
        <rFont val="Arial"/>
        <color theme="1"/>
      </rPr>
      <t>)</t>
    </r>
  </si>
  <si>
    <t>Sathish 2025 Official 50th Birthday Gift (MacPro Laptop) $1846.24 from MBS $846.24</t>
  </si>
  <si>
    <t>Sathish Oct 5-7, 2025 Office Trip to Dallas TX PENDING</t>
  </si>
  <si>
    <t>SIL's/ Relative Expenses</t>
  </si>
  <si>
    <t>Pushpa Rajesh - Samsung TV (Dec 24, 2024) paid-off</t>
  </si>
  <si>
    <t>Priyadevi Jayapal - IN/ IL/ WI College Visits(Aug 7-13, 2024) $800</t>
  </si>
  <si>
    <t>Priyadevi Jayapal - WI for AR UW summer camp (Jun 28-Jul 17, 2025) $423</t>
  </si>
  <si>
    <t>Dec'25</t>
  </si>
  <si>
    <t>Dec '25</t>
  </si>
  <si>
    <t>Total Expense</t>
  </si>
  <si>
    <t>PRIMARY INCOME ($4,315+$4,315=$8,630)</t>
  </si>
  <si>
    <t>SECONDARY INCOME ($1,571.20+$621.24=$2192.44) *2 = $4384.88</t>
  </si>
  <si>
    <t>159 Longview Pkwy (Mortgage SCU) ($3,250)</t>
  </si>
  <si>
    <t>Student Loan ($29K 159 downpayment) ($48695)</t>
  </si>
  <si>
    <t>West Bend Insurance ($426)</t>
  </si>
  <si>
    <t>Misc via Zelle LB ($250+$250=$500)</t>
  </si>
  <si>
    <t>We-Energies + SPWL ($250) (15th n 10th due)</t>
  </si>
  <si>
    <t>SPWHS m1 + PVMS m2</t>
  </si>
  <si>
    <t>Citi Costco CC Personal ($3,000) (24th due)</t>
  </si>
  <si>
    <t>SPWHS m1APHUG (Aug'24-May'25 $100*10=$1K)</t>
  </si>
  <si>
    <t>BoA CC $23K (159 downpayment) ($250)/ Discover CC $22100 Mar'24 (21st due)</t>
  </si>
  <si>
    <t>m1 AP Chem $25/per 1Hr Session</t>
  </si>
  <si>
    <t>USB 7569 CC ($300)</t>
  </si>
  <si>
    <t>MELODIYA m1m2: $2K Jan/ 1.2K Jun/ 2.1K Aug</t>
  </si>
  <si>
    <t>Citi Costco CC SKM ($250) (17th due)</t>
  </si>
  <si>
    <t>STORM m1m2</t>
  </si>
  <si>
    <t>USB SKM 3032 CC</t>
  </si>
  <si>
    <t>Payments to CC Kadan USB CC LoC 0394</t>
  </si>
  <si>
    <t>USB SKM 4287 CC Reserve LoC</t>
  </si>
  <si>
    <t>USB SKMProperty 5295 CC (0% until June '25) (22nd due)</t>
  </si>
  <si>
    <t>Misc Exps (S$50+M$250)/ P tax 1/5 $4500 7/5 $4927.19 -- 159 Basement:Jan $1K Feb $1.5K Mar $1.5K Apr $1.5K May $1.5K</t>
  </si>
  <si>
    <t>Discover 9424 CC</t>
  </si>
  <si>
    <t>Frontier 1428 CC</t>
  </si>
  <si>
    <t>Apple CC</t>
  </si>
  <si>
    <t>Amazon Store Card (1st due) 30% Int</t>
  </si>
  <si>
    <t>Pushpa Rajesh - Smoky trip ($999.53-$57.57=$941.96) PAID AS OF JULY 11</t>
  </si>
  <si>
    <t>USB 0394 CC Personal LoC (4th due) 13% Int</t>
  </si>
  <si>
    <t>Peter Run @ Nebraska</t>
  </si>
  <si>
    <t>Target CC 9910 (6th due)</t>
  </si>
  <si>
    <t>Priyadevi Jayapal - IN/ IL/ WI Trip (Aug 7-13)</t>
  </si>
  <si>
    <t>Kohls CC 8052 (19th due)</t>
  </si>
  <si>
    <t>GSM</t>
  </si>
  <si>
    <t>Menards CC 8895 (19th due) 30% Int</t>
  </si>
  <si>
    <t>Home Depot CC 2183 (24th due) 18% Int</t>
  </si>
  <si>
    <t>Menards Basement</t>
  </si>
  <si>
    <t>1/20-4/24</t>
  </si>
  <si>
    <t>Home Depot Basement</t>
  </si>
  <si>
    <t>1/19-4/2</t>
  </si>
  <si>
    <t>Misc to Savings+SCU [$275 (PS) until Oct 2024+$225 (S Uncle)=$500] $7.5K(2022)-$4.5K(till 2023)=$3K</t>
  </si>
  <si>
    <t>BoA CC 0% ($21500) Disc CC 0%($22K)</t>
  </si>
  <si>
    <r>
      <rPr>
        <rFont val="Arial"/>
        <color theme="1"/>
      </rPr>
      <t>Misc Expenses (Prop taxes) 1/31 $</t>
    </r>
    <r>
      <rPr>
        <rFont val="Arial"/>
        <b/>
        <color theme="1"/>
      </rPr>
      <t>6921</t>
    </r>
    <r>
      <rPr>
        <rFont val="Arial"/>
        <color theme="1"/>
      </rPr>
      <t xml:space="preserve"> 7/31 </t>
    </r>
    <r>
      <rPr>
        <rFont val="Arial"/>
        <b/>
        <color theme="1"/>
      </rPr>
      <t>$6757</t>
    </r>
  </si>
  <si>
    <r>
      <rPr>
        <rFont val="Arial"/>
        <color theme="1"/>
      </rPr>
      <t>Basement CCs 40K [$</t>
    </r>
    <r>
      <rPr>
        <rFont val="Arial"/>
        <b/>
        <color theme="1"/>
      </rPr>
      <t>12K</t>
    </r>
    <r>
      <rPr>
        <rFont val="Arial"/>
        <color theme="1"/>
      </rPr>
      <t>+</t>
    </r>
    <r>
      <rPr>
        <rFont val="Arial"/>
        <b/>
        <color theme="1"/>
      </rPr>
      <t>12K</t>
    </r>
    <r>
      <rPr>
        <rFont val="Arial"/>
        <color theme="1"/>
      </rPr>
      <t>+$</t>
    </r>
    <r>
      <rPr>
        <rFont val="Arial"/>
        <b/>
        <color theme="1"/>
      </rPr>
      <t>6K</t>
    </r>
    <r>
      <rPr>
        <rFont val="Arial"/>
        <color theme="1"/>
      </rPr>
      <t>+</t>
    </r>
    <r>
      <rPr>
        <rFont val="Arial"/>
        <b/>
        <color theme="1"/>
      </rPr>
      <t>6K</t>
    </r>
    <r>
      <rPr>
        <rFont val="Arial"/>
        <color theme="1"/>
      </rPr>
      <t>+</t>
    </r>
    <r>
      <rPr>
        <rFont val="Arial"/>
        <b/>
        <color theme="1"/>
      </rPr>
      <t>4K</t>
    </r>
    <r>
      <rPr>
        <rFont val="Arial"/>
        <color theme="1"/>
      </rPr>
      <t xml:space="preserve">] Paid Lulu: </t>
    </r>
    <r>
      <rPr>
        <rFont val="Arial"/>
        <b/>
        <color theme="1"/>
      </rPr>
      <t>$18390</t>
    </r>
    <r>
      <rPr>
        <rFont val="Arial"/>
        <color theme="1"/>
      </rPr>
      <t xml:space="preserve">; </t>
    </r>
    <r>
      <rPr>
        <rFont val="Arial"/>
        <b/>
        <color theme="1"/>
      </rPr>
      <t>$12K</t>
    </r>
    <r>
      <rPr>
        <rFont val="Arial"/>
        <color theme="1"/>
      </rPr>
      <t xml:space="preserve"> (</t>
    </r>
    <r>
      <rPr>
        <rFont val="Arial"/>
        <b/>
        <color theme="1"/>
      </rPr>
      <t>1/18, 1/23); 12K (2/13, 2/26); $2K (3/12); $3.3K (5/6)</t>
    </r>
  </si>
  <si>
    <t>-</t>
  </si>
  <si>
    <t>138 N. Wildwood st Ins (PJ) $48</t>
  </si>
  <si>
    <t>Total 159 Basement Project Estimated</t>
  </si>
  <si>
    <t>138 N. Wildwood st Prop Tax 2024 (Misc Exp: Lawn/ Snow/)</t>
  </si>
  <si>
    <t xml:space="preserve">1.18.24 Check #101 </t>
  </si>
  <si>
    <r>
      <rPr>
        <rFont val="Arial"/>
        <color theme="1"/>
      </rPr>
      <t xml:space="preserve">Misc (maintenance,)138/159 Basement: </t>
    </r>
    <r>
      <rPr>
        <rFont val="Arial"/>
        <b/>
        <color theme="1"/>
      </rPr>
      <t>$1K</t>
    </r>
    <r>
      <rPr>
        <rFont val="Arial"/>
        <color theme="1"/>
      </rPr>
      <t xml:space="preserve">: </t>
    </r>
    <r>
      <rPr>
        <rFont val="Arial"/>
        <b/>
        <color theme="1"/>
      </rPr>
      <t>2/3, 3/5, 8/5</t>
    </r>
    <r>
      <rPr>
        <rFont val="Arial"/>
        <color theme="1"/>
      </rPr>
      <t>, 9/5</t>
    </r>
  </si>
  <si>
    <t>1.23.24 Check #102</t>
  </si>
  <si>
    <t>2.13.24 Check #103</t>
  </si>
  <si>
    <t>2.26.24 Check #104</t>
  </si>
  <si>
    <t xml:space="preserve">3.12.24 via Zelle </t>
  </si>
  <si>
    <t>5.6.24 Check #106</t>
  </si>
  <si>
    <t>6.7.24 via Zelle (last payment)</t>
  </si>
  <si>
    <t>Addl Menards Material via CitiCostco CC</t>
  </si>
  <si>
    <t>Menards Materials</t>
  </si>
  <si>
    <t>Home Depot Materials</t>
  </si>
  <si>
    <t>PAID</t>
  </si>
  <si>
    <t xml:space="preserve">M-STUDENT LOAN n/a to PSLF </t>
  </si>
  <si>
    <t>June</t>
  </si>
  <si>
    <r>
      <rPr>
        <rFont val="Arial"/>
        <b/>
        <color theme="1"/>
      </rPr>
      <t>Property Taxes ($</t>
    </r>
    <r>
      <rPr>
        <rFont val="Arial"/>
        <b val="0"/>
        <color theme="1"/>
      </rPr>
      <t>6757</t>
    </r>
    <r>
      <rPr>
        <rFont val="Arial"/>
        <b/>
        <color theme="1"/>
      </rPr>
      <t xml:space="preserve"> + $4928)</t>
    </r>
  </si>
  <si>
    <t>Direct GRAD Plus $8000 as of June 2024</t>
  </si>
  <si>
    <t>6/7/2024 (MS $1250 + MS Rent $1250)</t>
  </si>
  <si>
    <t>$2K to Robert</t>
  </si>
  <si>
    <t>6/13/24 (M $1000)</t>
  </si>
  <si>
    <t>6/21/24 (MS $1000)</t>
  </si>
  <si>
    <t>6/27/24 (M $1000)</t>
  </si>
  <si>
    <r>
      <rPr>
        <rFont val="Arial"/>
        <b/>
        <color theme="1"/>
      </rPr>
      <t xml:space="preserve">7/5/24 (MS $1250 + </t>
    </r>
    <r>
      <rPr>
        <rFont val="Arial"/>
        <b/>
        <color theme="1"/>
      </rPr>
      <t>MS Rent $1250</t>
    </r>
    <r>
      <rPr>
        <rFont val="Arial"/>
        <b/>
        <color theme="1"/>
      </rPr>
      <t>)</t>
    </r>
  </si>
  <si>
    <t>4927.19 Check 107 Prop Tax 138</t>
  </si>
  <si>
    <t>7/19/24 (MS $1000)</t>
  </si>
  <si>
    <t>7/25/24 (M $1000) (S Better $1500+$250 Costco Reward)</t>
  </si>
  <si>
    <t>S to give back $2K from Betterment</t>
  </si>
  <si>
    <t>6756.76 Check 108 Prop Tax 159</t>
  </si>
  <si>
    <t>Total Savings</t>
  </si>
  <si>
    <t>2023 Expenses 1st-15th</t>
  </si>
  <si>
    <t xml:space="preserve">2023 M Expenses 1-15th </t>
  </si>
  <si>
    <t>S-USB$4215 (4715); MS-138NWildwood $3250 (2950)</t>
  </si>
  <si>
    <t>M- Salary $1469 (1403)+$616 MATC</t>
  </si>
  <si>
    <t>SM - 159 Longview Pkwy - Home ($3250)</t>
  </si>
  <si>
    <t>M-Amma</t>
  </si>
  <si>
    <t>SM - 138 N. Wildwood st - Rental Home (Mortg $1600+Prop Tax $1000+Maintenance $650)</t>
  </si>
  <si>
    <t>M - St.Loan $51K 6/23 + BoA $23K</t>
  </si>
  <si>
    <t>SM - West Bend Insurance (159Longview+138NWildwood+Honda+Nissan+Suzuki)</t>
  </si>
  <si>
    <t>n/a</t>
  </si>
  <si>
    <t>M - Misc $50+$50 (MS)</t>
  </si>
  <si>
    <t>M - Savings (m1m2 piano+swim+misc)</t>
  </si>
  <si>
    <t>SM - SKMINFO Citi Costco CC/ SKM USB Checking A/c</t>
  </si>
  <si>
    <t xml:space="preserve">SM - m2 Bb/ Misc </t>
  </si>
  <si>
    <t>SM - SPWL + We-Energies</t>
  </si>
  <si>
    <t xml:space="preserve">SM - Grocery </t>
  </si>
  <si>
    <t>SM - Miscellaneous-Kohls/Target/HDepot/Menards</t>
  </si>
  <si>
    <t xml:space="preserve">2023 M Expenses 16-30th </t>
  </si>
  <si>
    <t>SM - Savings to Investment = $278 (Sang repay until Oct 2024)+other savings</t>
  </si>
  <si>
    <t>M- Salary $1482 (1469)+$616</t>
  </si>
  <si>
    <t>2023 Expenses 15th-30th</t>
  </si>
  <si>
    <t>S-USB$4215 (4715)</t>
  </si>
  <si>
    <t>M - Misc $150 (M)</t>
  </si>
  <si>
    <t>SM - 159 Longview Pkwy - Home Sweet Home ($647200 @ 4.375%) $3231.37/ 3250</t>
  </si>
  <si>
    <t>SM - Citi Costco [Monthly running CC]/ SKMINFOTECH Citi Costco CC/ $1600 to 138 Mortgage Nov'23</t>
  </si>
  <si>
    <t>SM - SKMINFO Citi Costco CC</t>
  </si>
  <si>
    <t>MS - Vims $60 &amp; S-SCU $222</t>
  </si>
  <si>
    <t>SM-Apple Card/ USB CC 7569/ USB LoC 0394</t>
  </si>
  <si>
    <t>Monthly Balance</t>
  </si>
  <si>
    <t>m1m2 STORM ($4519-2022)</t>
  </si>
  <si>
    <t>SM - Grocery</t>
  </si>
  <si>
    <t xml:space="preserve">m1m2 MELODIYA </t>
  </si>
  <si>
    <t>Property Tax (159+138)</t>
  </si>
  <si>
    <t xml:space="preserve">SM - Savings to Investment </t>
  </si>
  <si>
    <t>Pushpa Rajesh ($70K paid as of Aug 17, 2023) = 4K (India) + 15K (Dec 2022)</t>
  </si>
  <si>
    <t>Citi Costco CC 8115</t>
  </si>
  <si>
    <t>Savings</t>
  </si>
  <si>
    <t>M-Stu Loan 55K (37K 159 Home +18 UW)</t>
  </si>
  <si>
    <t>138 N. Wildwood st / 159 Longview Pkwy - Maintenance</t>
  </si>
  <si>
    <t>Patio concrete n pillars w lights - 159</t>
  </si>
  <si>
    <t>Kitchen Backsplash - 159</t>
  </si>
  <si>
    <t>Basement - theater bench/ rails/ screen - 159</t>
  </si>
  <si>
    <t>138 N. Wildwood st - wall patch up</t>
  </si>
  <si>
    <t>2022 Expenses 1st-15th</t>
  </si>
  <si>
    <t>S-USB$3596 M-DOJ$1261=$4857</t>
  </si>
  <si>
    <t>Rent 138 N. Wildwood</t>
  </si>
  <si>
    <t>SM - 138 N Wildwood St - Home Sweet Home</t>
  </si>
  <si>
    <t>Mortgage</t>
  </si>
  <si>
    <t xml:space="preserve">SM - West Bend Insurance </t>
  </si>
  <si>
    <t>carpet cleaning</t>
  </si>
  <si>
    <t>M-AmmaAppa $250 &amp; S-Sang $278 to Savings</t>
  </si>
  <si>
    <t>Dave Repairs</t>
  </si>
  <si>
    <t>Leticia cleaning</t>
  </si>
  <si>
    <t>SM - Kid BB</t>
  </si>
  <si>
    <t>SM - Savings to Investment = $278 (Sang repay until Sep 2024)+other savings</t>
  </si>
  <si>
    <t>2022 Expenses 15th-30th</t>
  </si>
  <si>
    <t>JENSEN II PV142 - William Ryan Homes</t>
  </si>
  <si>
    <t>S-USB$3596 M-DOJ$1261</t>
  </si>
  <si>
    <t>$9500+$9500 USB Inv A/c</t>
  </si>
  <si>
    <t>$9500+$8750+$8750 Betterment Gen Inv A/c</t>
  </si>
  <si>
    <t>M-AmmaAppa $250, Vims $65 &amp; S-SCU $222</t>
  </si>
  <si>
    <t>April Prosper addl -28</t>
  </si>
  <si>
    <t>$4758/ 4733 ICICI Sats to HDFC Puspha To USA (4142+616)</t>
  </si>
  <si>
    <t>MS [M-Monthly &amp; Misc $150+S-Monthly $50]</t>
  </si>
  <si>
    <t>$15000 + $50000 from Pushpa Rajesh</t>
  </si>
  <si>
    <t>gave $15,000 back in Dec 2022</t>
  </si>
  <si>
    <t>$5000 for PV142 Jensen II Home- deposit</t>
  </si>
  <si>
    <t>$300 for PV142 Jensen II Home - custom request</t>
  </si>
  <si>
    <t>$65500 for PV142 Jensen II Home - downpayment</t>
  </si>
  <si>
    <t>$7035 for Prosper Loan (PremSangeetha CC Kadan) - Paid off in Aug 2022 due to New Home Mortgage (159 Longview Pkwy)</t>
  </si>
  <si>
    <t>$278/ month gets deposited in Savings from Sep 2022 until Sep 2024 for New Home Expense + $222 gets deposited to Summit savings for SJ</t>
  </si>
  <si>
    <t>CC KADAN INFORMATION in 2021</t>
  </si>
  <si>
    <t>MS - Home Mortgage 138 N Wildwood St, SP</t>
  </si>
  <si>
    <t>MS-Citi Costco (Monthly Personnel Exp)</t>
  </si>
  <si>
    <t>S-SKM Citi Costco (Monthly Co Exp)</t>
  </si>
  <si>
    <t>S/M-Target RedCard/Kohls/Wells Fargo - Steinhafel/Ashley Furniture/Home Depot/Menards (Home Improvement)</t>
  </si>
  <si>
    <t>PremjiSangeetha (USB CC 1/1/22 $280)</t>
  </si>
  <si>
    <t>Total CC Kadan</t>
  </si>
  <si>
    <t>Transfer to ICICI Sathish for India ($240)</t>
  </si>
  <si>
    <t>PremjiSangeetha (USBank CC 1/1/22 $260)</t>
  </si>
  <si>
    <t>PremjiSangeetha (money back for CC)</t>
  </si>
  <si>
    <t>NY 11/5-11/7</t>
  </si>
  <si>
    <t>2021 Expenses 1st-15th</t>
  </si>
  <si>
    <t>Jan'21</t>
  </si>
  <si>
    <t>Feb'21</t>
  </si>
  <si>
    <t>Mar'21</t>
  </si>
  <si>
    <t>Apr'21</t>
  </si>
  <si>
    <t>May'21</t>
  </si>
  <si>
    <t>Jun'21</t>
  </si>
  <si>
    <t>Jul'21</t>
  </si>
  <si>
    <t>Aug'21</t>
  </si>
  <si>
    <t>Sep'21</t>
  </si>
  <si>
    <t>Oct'21</t>
  </si>
  <si>
    <t>Nov'21</t>
  </si>
  <si>
    <t>Dec'21</t>
  </si>
  <si>
    <t>CC Expenses</t>
  </si>
  <si>
    <t>Amount</t>
  </si>
  <si>
    <t>S-DOT$2419 M-DOJ$1073</t>
  </si>
  <si>
    <t>Storm</t>
  </si>
  <si>
    <t>Simply Swimming</t>
  </si>
  <si>
    <t>SM [M-Mom $250+S-India $250+Vims $70]</t>
  </si>
  <si>
    <t>Band Instrument</t>
  </si>
  <si>
    <t>m1m2 - BB/ Piano/ Swim</t>
  </si>
  <si>
    <t>5600+260+1000</t>
  </si>
  <si>
    <t>IRS Stimulus money</t>
  </si>
  <si>
    <t>NC Vacation</t>
  </si>
  <si>
    <t>2021 Expenses 15th-30th</t>
  </si>
  <si>
    <t>Jan '21</t>
  </si>
  <si>
    <t>Feb '21</t>
  </si>
  <si>
    <t>Mar '21</t>
  </si>
  <si>
    <t>Apr '21</t>
  </si>
  <si>
    <t>May '21</t>
  </si>
  <si>
    <t>Jun '21</t>
  </si>
  <si>
    <t>Jul '21</t>
  </si>
  <si>
    <t>Aug '21</t>
  </si>
  <si>
    <t>Sep '21</t>
  </si>
  <si>
    <t>Oct '21</t>
  </si>
  <si>
    <t>Nov '21</t>
  </si>
  <si>
    <t>Dec '21</t>
  </si>
  <si>
    <t>2600+400+800</t>
  </si>
  <si>
    <t>M-MATC &amp; MS-Savings back from S-IBM &amp; IRS $800 in Nov</t>
  </si>
  <si>
    <t>SM [M-Mom $250+S-SangeethaPremCC $250]</t>
  </si>
  <si>
    <t>2750+300+1140</t>
  </si>
  <si>
    <t>Disney + Furniture for space betw Kit &amp; living + Iphone 12 Pro - March</t>
  </si>
  <si>
    <t>SM CitiCostco CC (Monthly CC)</t>
  </si>
  <si>
    <t>MS - Personal Line 0394 USB</t>
  </si>
  <si>
    <t>Sangeetha Prem (Disc CC Jul 21-Sep 22 $250)</t>
  </si>
  <si>
    <t>Aug $50 to Priest</t>
  </si>
  <si>
    <t>2020 Expenses 1st - 15th</t>
  </si>
  <si>
    <t>Jan'20</t>
  </si>
  <si>
    <t>Feb'20</t>
  </si>
  <si>
    <t>Mar'20</t>
  </si>
  <si>
    <t>Apr'20</t>
  </si>
  <si>
    <t>May'20</t>
  </si>
  <si>
    <t>Jun'20</t>
  </si>
  <si>
    <t>Jul'20</t>
  </si>
  <si>
    <t>Aug'20</t>
  </si>
  <si>
    <t>Sep'20</t>
  </si>
  <si>
    <t>Oct'20</t>
  </si>
  <si>
    <t>Nov'20</t>
  </si>
  <si>
    <t>Dec'20</t>
  </si>
  <si>
    <t xml:space="preserve">2020 Incomes 1st - 15th </t>
  </si>
  <si>
    <t>S-WIDOT</t>
  </si>
  <si>
    <t>M-WIDOJ</t>
  </si>
  <si>
    <t>S-IBM</t>
  </si>
  <si>
    <t>M-MATC</t>
  </si>
  <si>
    <t>Balance from Previous Paycheck</t>
  </si>
  <si>
    <t>SM - 138 N Wildwood St - Home Sweet Home (S) - SCU</t>
  </si>
  <si>
    <t>SM - Honda Odyssey (S) - SCU</t>
  </si>
  <si>
    <t>Nov Car $450: 200 for CC payment and 250 to SKM checking a/c; Dec Mortg &amp; Car $ to Smita tax fee</t>
  </si>
  <si>
    <t>SM - West Bend Insurance - USB</t>
  </si>
  <si>
    <t>SM [S-India $250 +M-Mom $250] - USB</t>
  </si>
  <si>
    <t>SM - Citi Costco (Monthly running CC) - USB</t>
  </si>
  <si>
    <t>MS - Edvest $250 + Betterment $400</t>
  </si>
  <si>
    <t>MS - BB</t>
  </si>
  <si>
    <t>SM - Grocery - USB</t>
  </si>
  <si>
    <t>S - SKM USBank CC 6020 $250 ($15,000)</t>
  </si>
  <si>
    <t>1240+100+22</t>
  </si>
  <si>
    <t>SKM - CitiCostco CC/ SKM USB Checking A/s</t>
  </si>
  <si>
    <t>2020 Expenses 15th - 30th</t>
  </si>
  <si>
    <t>Jan '20</t>
  </si>
  <si>
    <t>Feb '20</t>
  </si>
  <si>
    <t>Mar '20</t>
  </si>
  <si>
    <t>Apr '20</t>
  </si>
  <si>
    <t>May '20</t>
  </si>
  <si>
    <t>Jun '20</t>
  </si>
  <si>
    <t>Jul '20</t>
  </si>
  <si>
    <t>Aug '20</t>
  </si>
  <si>
    <t>Sep '20</t>
  </si>
  <si>
    <t>Oct '20</t>
  </si>
  <si>
    <t>Nov '20</t>
  </si>
  <si>
    <t>Dec '20</t>
  </si>
  <si>
    <t>Dec'20 Addl</t>
  </si>
  <si>
    <t>2020 Incomes 15th - 30th</t>
  </si>
  <si>
    <t>Nov 15th Mortg&amp;StuL $ to USB CC for Tax payment</t>
  </si>
  <si>
    <t>SM - Citi-Student Loan #1</t>
  </si>
  <si>
    <t>SM - Citi-Student Loan #2</t>
  </si>
  <si>
    <t>SM (M-Mom $250+S-Sangeetha CC $250) - USB</t>
  </si>
  <si>
    <t>MS (M-Monthly $130+S-Monthly $50+Priest $20) - USB</t>
  </si>
  <si>
    <t>SM - Citi Costco (Monthly running CC)</t>
  </si>
  <si>
    <t xml:space="preserve">2000 Basement TV </t>
  </si>
  <si>
    <t>MS - Edvest $250 + Betterment $200</t>
  </si>
  <si>
    <t>MS - Paino - USB</t>
  </si>
  <si>
    <t>CC KADAN INFORMATION in 2020</t>
  </si>
  <si>
    <t>MS - Home Improvement (Basement+Kitchen Splash+Fence+Fireplace)</t>
  </si>
  <si>
    <t>MS-Honda Odyssey - SCU</t>
  </si>
  <si>
    <t>SCU Honda Loan</t>
  </si>
  <si>
    <t>S-Student Loan #1 (S-MBA Tuition)</t>
  </si>
  <si>
    <t>Navient Stu Loan</t>
  </si>
  <si>
    <t>S-Student Loan #2 (S-MBA Tuition)</t>
  </si>
  <si>
    <r>
      <rPr>
        <rFont val="Arial"/>
        <b/>
        <color theme="1"/>
      </rPr>
      <t>2900</t>
    </r>
    <r>
      <rPr>
        <rFont val="Arial"/>
        <color theme="1"/>
      </rPr>
      <t>+</t>
    </r>
    <r>
      <rPr>
        <rFont val="Arial"/>
        <b/>
        <color theme="1"/>
      </rPr>
      <t>2000</t>
    </r>
    <r>
      <rPr>
        <rFont val="Arial"/>
        <color theme="1"/>
      </rPr>
      <t>+</t>
    </r>
    <r>
      <rPr>
        <rFont val="Arial"/>
        <b/>
        <color theme="1"/>
      </rPr>
      <t>1240</t>
    </r>
  </si>
  <si>
    <t>2019 Tax Pay WI + IRS +Fee $6140</t>
  </si>
  <si>
    <t>1000+2000+1500</t>
  </si>
  <si>
    <t>Couch + TV + Speaker $4500</t>
  </si>
  <si>
    <t>S-SKM Chase (SEP IRA 2016 + CitiCostco SKM)</t>
  </si>
  <si>
    <t>1750+500+1500+2500+2500+2500+2100+400</t>
  </si>
  <si>
    <t>SKM CC $13750</t>
  </si>
  <si>
    <t>PremjiSangeetha (Chase Jan-Jun $150; Disc Jul-Dec)</t>
  </si>
  <si>
    <t xml:space="preserve">Transfer to ICICI Sathish for Uncle </t>
  </si>
  <si>
    <t>PremjiSangeetha (Chase Jan-Jun $150; Disc Jul-Jun $250)</t>
  </si>
  <si>
    <t>2019 Expenses 1st-15th</t>
  </si>
  <si>
    <t>Jan'19</t>
  </si>
  <si>
    <t>Feb'19</t>
  </si>
  <si>
    <t>Mar'19</t>
  </si>
  <si>
    <t>Apr'19</t>
  </si>
  <si>
    <t>May'19</t>
  </si>
  <si>
    <t>Jun'19</t>
  </si>
  <si>
    <t>Jul'19</t>
  </si>
  <si>
    <t>Aug'19</t>
  </si>
  <si>
    <t>Sep'19</t>
  </si>
  <si>
    <t>Oct'19</t>
  </si>
  <si>
    <t>Nov'19</t>
  </si>
  <si>
    <t>Dec'19</t>
  </si>
  <si>
    <t>2020 Expenses 1st-15th</t>
  </si>
  <si>
    <t>SM - 103 Kelvington Dr - Home Sweet Home (S) - SCU</t>
  </si>
  <si>
    <t>Kids Edvest College</t>
  </si>
  <si>
    <t>Kids BB</t>
  </si>
  <si>
    <t>Kids Piano</t>
  </si>
  <si>
    <t>SM (S-Dad $250+M-Mom $250) - USB</t>
  </si>
  <si>
    <t>Kids Storm</t>
  </si>
  <si>
    <t>Kids MSA/ PAC</t>
  </si>
  <si>
    <t>MS - Edvest $250 + Betterment $250</t>
  </si>
  <si>
    <t>MS - Kids After School/ BB/ Piano/ Swim - USB</t>
  </si>
  <si>
    <t>SM - SCU Home Equity Line of Credit - USB</t>
  </si>
  <si>
    <t>SM - Miscellaneous-Kohls/Target/HDepot/</t>
  </si>
  <si>
    <t>2019 Expenses 15th-30th</t>
  </si>
  <si>
    <t>Jan '19</t>
  </si>
  <si>
    <t>Feb '19</t>
  </si>
  <si>
    <t>Mar '19</t>
  </si>
  <si>
    <t>Apr '19</t>
  </si>
  <si>
    <t>May '19</t>
  </si>
  <si>
    <t>Jun '19</t>
  </si>
  <si>
    <t>Jul '19</t>
  </si>
  <si>
    <t>Aug '19</t>
  </si>
  <si>
    <t>Sep '19</t>
  </si>
  <si>
    <t>Oct '19</t>
  </si>
  <si>
    <t>Nov '19</t>
  </si>
  <si>
    <t>Dec '19</t>
  </si>
  <si>
    <t>2020 Expenses 15th-30th</t>
  </si>
  <si>
    <t>SM (S-Dad $250+M-Mom $250) - USB</t>
  </si>
  <si>
    <t>MS (M-Monthly $130+S-Monthly $50) - USB</t>
  </si>
  <si>
    <t>MS - Edvest + Betterment</t>
  </si>
  <si>
    <t>CC KADAN INFORMATION in 2019</t>
  </si>
  <si>
    <t>MS-SCU Home Equity Line of Credit (Home Improvement)</t>
  </si>
  <si>
    <t>S-SKM Chase (SEP IRA 2016)</t>
  </si>
  <si>
    <t>CC INFORMATION - Expense more than $50 in 2020</t>
  </si>
  <si>
    <t>MS-Citi Costco</t>
  </si>
  <si>
    <t>Friends Expense 2020 (as of)</t>
  </si>
  <si>
    <t>Amt from 2020</t>
  </si>
  <si>
    <t>Premji Sangeetha - MS BOA (Jan-Jun) Chase (Jul-Dec) 13600</t>
  </si>
  <si>
    <t>CitiCostco - Personal</t>
  </si>
  <si>
    <t>CitiCostco - SKMINFOTECH</t>
  </si>
  <si>
    <t>USBank SKMINFOTECH Central Bill Account 6020</t>
  </si>
  <si>
    <t>USBank SKMINFOTECH Business Credit Card 3032</t>
  </si>
  <si>
    <t>2018 Expenses 1st-15th</t>
  </si>
  <si>
    <t>Jan'18</t>
  </si>
  <si>
    <t>Feb'18</t>
  </si>
  <si>
    <t>Mar'18</t>
  </si>
  <si>
    <t>Apr'18</t>
  </si>
  <si>
    <t>May'18</t>
  </si>
  <si>
    <t>Jun'18</t>
  </si>
  <si>
    <t>Jul'18</t>
  </si>
  <si>
    <t>Aug'18</t>
  </si>
  <si>
    <t>Sep'18</t>
  </si>
  <si>
    <t>Oct'18</t>
  </si>
  <si>
    <t>Nov'18</t>
  </si>
  <si>
    <t>Dec'18</t>
  </si>
  <si>
    <t>103 Kelvington Dr - Home Sweet Home (S) - SCU</t>
  </si>
  <si>
    <t>Honda Odyssey (S) - SCU</t>
  </si>
  <si>
    <t xml:space="preserve">Amfam Ins + Life Ins (S) </t>
  </si>
  <si>
    <t xml:space="preserve">S (S-Dad $250+Addl Amt) </t>
  </si>
  <si>
    <t xml:space="preserve">S (WDC $500+Addl Amt) </t>
  </si>
  <si>
    <t>S-Citi Costco (Monthly running CC)</t>
  </si>
  <si>
    <t>S-USBank/ SCU Check (House cleaning/Lawn/Misc)</t>
  </si>
  <si>
    <t>S- SCU Addl Mortgage/ Home Equity Line of Credit /S-$</t>
  </si>
  <si>
    <t>S-Target RedCard/ Kohls/ Wells Fargo - Steinhafel/ Ashley Furniture/ Home Depot/ Menards/Sangee CC/Disc CC</t>
  </si>
  <si>
    <t>2018 Expenses 15th-30th</t>
  </si>
  <si>
    <t>Jan '18</t>
  </si>
  <si>
    <t>Feb '18</t>
  </si>
  <si>
    <t>Mar '18</t>
  </si>
  <si>
    <t>Apr '18</t>
  </si>
  <si>
    <t>May '18</t>
  </si>
  <si>
    <t>Jun '18</t>
  </si>
  <si>
    <t>Jul '18</t>
  </si>
  <si>
    <t>Aug '18</t>
  </si>
  <si>
    <t>Sep '18</t>
  </si>
  <si>
    <t>Oct '18</t>
  </si>
  <si>
    <t>Nov '18</t>
  </si>
  <si>
    <t>Dec '18</t>
  </si>
  <si>
    <t>S-Citi-Student Loan #1</t>
  </si>
  <si>
    <t>S-Citi-Student Loan #2</t>
  </si>
  <si>
    <t>S (S-Dad $250+Addl Amt)</t>
  </si>
  <si>
    <t>MS (M-Monthly pay for A/cs maintenance $120+S-Monthly $80)</t>
  </si>
  <si>
    <t>S - SPWL + We-Energies</t>
  </si>
  <si>
    <t>S-Target RedCard/ Kohls/ Wells Fargo - Steinhafel/ Ashley Furniture/ Home Depot/ Menards/ Sangee CC/Disc CC/ Misc Expenses</t>
  </si>
  <si>
    <t>CC KADAN INFORMATION in 2018</t>
  </si>
  <si>
    <t>CC INFORMATION - Expense more than $250 in 2018</t>
  </si>
  <si>
    <t>S-SKM-Citi Costco</t>
  </si>
  <si>
    <t>SKM INFOTECH 2018</t>
  </si>
  <si>
    <t>Jan' 18</t>
  </si>
  <si>
    <t>Feb' 18</t>
  </si>
  <si>
    <t>Mar' 18</t>
  </si>
  <si>
    <t>VC - 1st of Month</t>
  </si>
  <si>
    <t>VC - 2nd of Month</t>
  </si>
  <si>
    <t>VC - 3rd of Month</t>
  </si>
  <si>
    <t>Salary</t>
  </si>
  <si>
    <t>Distribution - 1st of Month</t>
  </si>
  <si>
    <t>Distribution - 2nd of Month</t>
  </si>
  <si>
    <t>Friends Expense 2018 (as of)</t>
  </si>
  <si>
    <t>Amt from 2017</t>
  </si>
  <si>
    <t>Premji Sangeetha - satsatt Citi CC to SM</t>
  </si>
  <si>
    <t>Premji Sangeetha - MB BOA CC</t>
  </si>
  <si>
    <t>Dollars</t>
  </si>
  <si>
    <t>Rupees</t>
  </si>
  <si>
    <t>2017 Expenses 1st - 15th</t>
  </si>
  <si>
    <t>Jan'17</t>
  </si>
  <si>
    <t>Feb'17</t>
  </si>
  <si>
    <t>Mar'17</t>
  </si>
  <si>
    <t>Apr'17</t>
  </si>
  <si>
    <t>May'17</t>
  </si>
  <si>
    <t>Jun'17</t>
  </si>
  <si>
    <t>Jul'17</t>
  </si>
  <si>
    <t>Aug'17</t>
  </si>
  <si>
    <t>Sep'17</t>
  </si>
  <si>
    <t>Oct'17</t>
  </si>
  <si>
    <t>Nov'17</t>
  </si>
  <si>
    <t>Dec'17</t>
  </si>
  <si>
    <t>Temple (Chicago/ Milwaukee/ Sun Prairie)</t>
  </si>
  <si>
    <t>103 Kelvington Dr - Home Sweet Home (MmmS) - SCU</t>
  </si>
  <si>
    <t>Honda Odyssey (MmmS) - SCU</t>
  </si>
  <si>
    <t>Amfam (SM)</t>
  </si>
  <si>
    <t>Amfam-Life Ins (SM)</t>
  </si>
  <si>
    <t xml:space="preserve">S-Citi-Student Loan </t>
  </si>
  <si>
    <t>S (S-Dad $150+Addl Amt)</t>
  </si>
  <si>
    <t>M (WDCHSALI)</t>
  </si>
  <si>
    <t>MS-Citi Costco (Monthly running CC)</t>
  </si>
  <si>
    <t>SM/ MS-USBank/ SCU Check (mm - Piano/ Kumon)</t>
  </si>
  <si>
    <t>Misc. SM-USBank/ SCU Check (House cleaning/ Lawn/ Misc)</t>
  </si>
  <si>
    <t>Misc. SM- General/ Betterment Savings</t>
  </si>
  <si>
    <t>SM-Target RedCard+Kohls ChargeCard</t>
  </si>
  <si>
    <t xml:space="preserve">SM-USBank CC 7569 </t>
  </si>
  <si>
    <t>SM-USBank Premier Line of Credit</t>
  </si>
  <si>
    <t xml:space="preserve">MS- SCU Home Equity Line of Credit </t>
  </si>
  <si>
    <t>S/M-Target RedCard/ Kohls/ Wells Fargo - Steinhafel/ Ashley Furniture/ Home Depot/ Menards</t>
  </si>
  <si>
    <t>2017 Expenses 15th-30th</t>
  </si>
  <si>
    <t>Jan '17</t>
  </si>
  <si>
    <t>Feb '17</t>
  </si>
  <si>
    <t>Mar '17</t>
  </si>
  <si>
    <t>Apr '17</t>
  </si>
  <si>
    <t>May '17</t>
  </si>
  <si>
    <t>Jun '17</t>
  </si>
  <si>
    <t>Jul '17</t>
  </si>
  <si>
    <t>Aug '17</t>
  </si>
  <si>
    <t>Sep '17</t>
  </si>
  <si>
    <t>Oct '17</t>
  </si>
  <si>
    <t>Nov '17</t>
  </si>
  <si>
    <t>Dec '17</t>
  </si>
  <si>
    <t>S-Citi-Student Loan</t>
  </si>
  <si>
    <t>S (S-Dad $150+Addl Amt)</t>
  </si>
  <si>
    <t>M (WDCHSALI + Misc Exp)</t>
  </si>
  <si>
    <t xml:space="preserve">SM - SPWL </t>
  </si>
  <si>
    <t>SM - We-Energies</t>
  </si>
  <si>
    <t>SM/ MS-USBank/ SCU Check (mm - Piano/Kumon)</t>
  </si>
  <si>
    <t>SM-USBank/ SCU Check (House cleaning/ Lawn)</t>
  </si>
  <si>
    <t>SM- General/ Betterment Savings/ Misc Exp</t>
  </si>
  <si>
    <t>CC KADAN INFORMATION in 2017</t>
  </si>
  <si>
    <t>S/M-Wells Fargo - Steinhafel/ Ashley Furniture/ Home Depot/ Menards (Home Improvement)</t>
  </si>
  <si>
    <t>CC INFORMATION - Expense more than $250 in 2017</t>
  </si>
  <si>
    <t>CA flight $1680 + Honda windshield $500</t>
  </si>
  <si>
    <t>Fence $4800</t>
  </si>
  <si>
    <t>SKM INFOTECH 2017</t>
  </si>
  <si>
    <t>Jan' 17</t>
  </si>
  <si>
    <t>Feb' 17</t>
  </si>
  <si>
    <t>Mar' 17</t>
  </si>
  <si>
    <t>SAVINGS/ INVESTMENTS 2017</t>
  </si>
  <si>
    <t>MSmm - Money Market SCU</t>
  </si>
  <si>
    <t>MSmm - Betterment</t>
  </si>
  <si>
    <t>MSmm - 401K Scottrade 1</t>
  </si>
  <si>
    <t>MSmm - 401K Scottrade 2</t>
  </si>
  <si>
    <t>MSmm - 401K Sigfig/ TD Ameritrade</t>
  </si>
  <si>
    <t>MSmm - WI State Retirementmm</t>
  </si>
  <si>
    <t>MSmm - WDC</t>
  </si>
  <si>
    <t>mmM - Edvest College Savings</t>
  </si>
  <si>
    <t>Total Investments (MSmm)</t>
  </si>
  <si>
    <t>SD-2017</t>
  </si>
  <si>
    <t>Premji CC payment</t>
  </si>
  <si>
    <t>India Friends Gifts</t>
  </si>
  <si>
    <t>2016 Expenses 1st - 15th</t>
  </si>
  <si>
    <t>Jan'16</t>
  </si>
  <si>
    <t>Feb'16</t>
  </si>
  <si>
    <t>Mar'16</t>
  </si>
  <si>
    <t>Apr'16</t>
  </si>
  <si>
    <t>May'16</t>
  </si>
  <si>
    <t>Jun'16</t>
  </si>
  <si>
    <t>Jul'16</t>
  </si>
  <si>
    <t>Aug'16</t>
  </si>
  <si>
    <t>Sep'16</t>
  </si>
  <si>
    <t>Oct'16</t>
  </si>
  <si>
    <t>Nov'16</t>
  </si>
  <si>
    <t>Dec'16</t>
  </si>
  <si>
    <t>Bal Amt - Start</t>
  </si>
  <si>
    <t>103 Kelvington Dr - Sweet Home (SM)</t>
  </si>
  <si>
    <t>Honda Odyssey (SM)</t>
  </si>
  <si>
    <t>S-Chase CC</t>
  </si>
  <si>
    <t>SM-Disc Monthly CC 7446 (SM - Monthly Exp)</t>
  </si>
  <si>
    <t>MS-Citi Costco (MS-Costco + M Gas)</t>
  </si>
  <si>
    <t>SM-USBank CC 7569 (mm - BB &amp; Swim)</t>
  </si>
  <si>
    <t>M-Citi CC/SouthWest CC/ BOA CC</t>
  </si>
  <si>
    <t>Misc. Expense - S (S-Dad $125) +Temple</t>
  </si>
  <si>
    <t>Misc. Expense - M (WDCHSALI + Exp)</t>
  </si>
  <si>
    <t>Misc. Expense - mm (Kumon+Piano)</t>
  </si>
  <si>
    <t>Misc. Expense - General/ Betterment Savings</t>
  </si>
  <si>
    <t>2016 Expenses 15th-30th</t>
  </si>
  <si>
    <t>Jan '16</t>
  </si>
  <si>
    <t>Feb '16</t>
  </si>
  <si>
    <t>Mar '16</t>
  </si>
  <si>
    <t>Apr '16</t>
  </si>
  <si>
    <t>May '16</t>
  </si>
  <si>
    <t>Jun '16</t>
  </si>
  <si>
    <t>Jul '16</t>
  </si>
  <si>
    <t>Aug '16</t>
  </si>
  <si>
    <t>Sep '16</t>
  </si>
  <si>
    <t>Oct '16</t>
  </si>
  <si>
    <t>Nov '16</t>
  </si>
  <si>
    <t>Dec '16</t>
  </si>
  <si>
    <t>SPWL (SM)</t>
  </si>
  <si>
    <t>We-Energies (SM)</t>
  </si>
  <si>
    <t>S-Chase CC/ SouthWest CCSKM</t>
  </si>
  <si>
    <t>SM-USBank CC 7569 [mm - BB &amp; Swim(MSA &amp; Storm)]</t>
  </si>
  <si>
    <t>SM-Target RedCard + Kohls</t>
  </si>
  <si>
    <t>M-Citi CC/ SouthWest CC/ BOA CC</t>
  </si>
  <si>
    <t>Misc. Expense - General (including Ashley &amp; Steinhafels)</t>
  </si>
  <si>
    <t>Monthly Expense</t>
  </si>
  <si>
    <t>CC INFORMATION in 2016</t>
  </si>
  <si>
    <t>BALANCE END</t>
  </si>
  <si>
    <t>S-Student Loan #1</t>
  </si>
  <si>
    <t>S-Student Loan #2</t>
  </si>
  <si>
    <t>MS-Honda Odyssey</t>
  </si>
  <si>
    <t>S-Chase</t>
  </si>
  <si>
    <t>MS-Discover CC 0094</t>
  </si>
  <si>
    <t>S-SKM Citi Costco</t>
  </si>
  <si>
    <t>M-WellsFargo Loan (Ashley Furniture)</t>
  </si>
  <si>
    <t>M-Home Depot CC (Appliances)</t>
  </si>
  <si>
    <t>S-WellsFargo Loan (Steinhafels Furniture)</t>
  </si>
  <si>
    <t>S-SKM Chase CC</t>
  </si>
  <si>
    <t>M-Chase CC</t>
  </si>
  <si>
    <t>M-Citi CC</t>
  </si>
  <si>
    <t>S-USBank CC 7569</t>
  </si>
  <si>
    <t>S-US Bank Premier Line of Credit</t>
  </si>
  <si>
    <t>CC INFORMATION - Expense more than $250/ $100 in 2016</t>
  </si>
  <si>
    <t>$3165 CookingRange Dishwasher BunkBed</t>
  </si>
  <si>
    <t>Apostle Cruise $112; Ashland Hotel $227; $1259 Honda Odyssey Tires; Caliber Lawn Care $266; Amazon membership $100; Grocery $145; Home AC Repair $454;Grocery $127; Costco membership $117</t>
  </si>
  <si>
    <t>Ashley Furniture $488; Grocery $109;FamousFootwear $119; Steinhafels $250</t>
  </si>
  <si>
    <t>$1677+$1500 Washer Dryer; Refridgrator; microwave</t>
  </si>
  <si>
    <t>S-Discover CC 0094</t>
  </si>
  <si>
    <t>Naturescape $269</t>
  </si>
  <si>
    <t>REI m1 Bike &amp; M Footwear $338</t>
  </si>
  <si>
    <t>Holiday month extra expense $500</t>
  </si>
  <si>
    <t>MCM Camp $756; BadgerBots $875</t>
  </si>
  <si>
    <t>S-Chase SW Rapid</t>
  </si>
  <si>
    <t>M-Chase SW Rapid</t>
  </si>
  <si>
    <t>SKM INFOTECH 2016</t>
  </si>
  <si>
    <t>Jan' 16</t>
  </si>
  <si>
    <t>Feb' 16</t>
  </si>
  <si>
    <t>Mar' 16</t>
  </si>
  <si>
    <t>Distribution - 3rd of Month</t>
  </si>
  <si>
    <t>SAVINGS/ INVESTMENTS 2016</t>
  </si>
  <si>
    <t>MS - Money Market SCU</t>
  </si>
  <si>
    <t>MS - Betterment</t>
  </si>
  <si>
    <t>MS - 401K Scottrade 1</t>
  </si>
  <si>
    <t>MS - 401K Scottrade 2</t>
  </si>
  <si>
    <t>MS - 401K Sigfig/ TD Ameritrade</t>
  </si>
  <si>
    <t>MS - WI State Retirement</t>
  </si>
  <si>
    <t>MS - WDC</t>
  </si>
  <si>
    <t>mm - Edvest College Savings</t>
  </si>
  <si>
    <t>SKM USB Checking A/c</t>
  </si>
  <si>
    <t>S-Chase SW</t>
  </si>
  <si>
    <t>SKM CitiCostco</t>
  </si>
  <si>
    <t>MS CitiCostco</t>
  </si>
  <si>
    <t>SKM SCU Checking A/c</t>
  </si>
  <si>
    <t>2015 Expenses</t>
  </si>
  <si>
    <t>Jan 2015</t>
  </si>
  <si>
    <t>Feb 2015</t>
  </si>
  <si>
    <t>Mar 2015</t>
  </si>
  <si>
    <t>Apr 2015</t>
  </si>
  <si>
    <t>May 2015</t>
  </si>
  <si>
    <t>Jun 2015</t>
  </si>
  <si>
    <t>Jul 2015</t>
  </si>
  <si>
    <t>Aug 2015</t>
  </si>
  <si>
    <t>Sep 2015</t>
  </si>
  <si>
    <t>Oct 2015</t>
  </si>
  <si>
    <t>Nov 2015</t>
  </si>
  <si>
    <t>Dec 2015</t>
  </si>
  <si>
    <t>103 Kelvington Dr - Sweet Home</t>
  </si>
  <si>
    <t>Honda Odyssey</t>
  </si>
  <si>
    <t>Amfam</t>
  </si>
  <si>
    <t>Amfam-Life Ins (MS)</t>
  </si>
  <si>
    <t>S-USBank Premier Line of Credit</t>
  </si>
  <si>
    <t>SM-Disc Monthly CC 7446</t>
  </si>
  <si>
    <t>M-American Express</t>
  </si>
  <si>
    <t>SouthWest CC-MB</t>
  </si>
  <si>
    <t>M-Citibank CC 0539</t>
  </si>
  <si>
    <t>Misc. Expense - S</t>
  </si>
  <si>
    <t>Misc. Expense - M</t>
  </si>
  <si>
    <t>Misc. Expense - mm</t>
  </si>
  <si>
    <t>Misc. Expense - General</t>
  </si>
  <si>
    <t>16th - 30th</t>
  </si>
  <si>
    <t>SPWL</t>
  </si>
  <si>
    <t>We-Energies</t>
  </si>
  <si>
    <t>SouthWest CC - MB</t>
  </si>
  <si>
    <t>CC INFORMATION</t>
  </si>
  <si>
    <t>M-Chase</t>
  </si>
  <si>
    <t>MS-American Express</t>
  </si>
  <si>
    <t>M-Citi</t>
  </si>
  <si>
    <t>CC INFORMATION - Expense more than $250</t>
  </si>
  <si>
    <t>Costco Grocery 266</t>
  </si>
  <si>
    <t>Costco Grocery $254</t>
  </si>
  <si>
    <t>Honda B14 Service $1225</t>
  </si>
  <si>
    <t>Disney $1398</t>
  </si>
  <si>
    <t>Disney $1679; Disney tickets $336; Grocery Clothes $354</t>
  </si>
  <si>
    <t>Hotel $258</t>
  </si>
  <si>
    <t>NatureScape $269</t>
  </si>
  <si>
    <t>Hotel $420</t>
  </si>
  <si>
    <t>Property Tax $3000</t>
  </si>
  <si>
    <t>Advance for Shortage of Dec &amp; Jan Vacation SKM $1000</t>
  </si>
  <si>
    <t>Advance for Shortage of Expense $500</t>
  </si>
  <si>
    <t>Advance for Shortage of Expense $250</t>
  </si>
  <si>
    <t>Flight to ORD $1500</t>
  </si>
  <si>
    <t>SKM INFOTECH 2015</t>
  </si>
  <si>
    <t>Jan' 15</t>
  </si>
  <si>
    <t>Feb' 15</t>
  </si>
  <si>
    <t>Mar' 15</t>
  </si>
  <si>
    <t>Apr '15</t>
  </si>
  <si>
    <t>May'15</t>
  </si>
  <si>
    <t>Jun'15</t>
  </si>
  <si>
    <t>Jul'15</t>
  </si>
  <si>
    <t>Aug'15</t>
  </si>
  <si>
    <t>Sep'15</t>
  </si>
  <si>
    <t>Oct'15</t>
  </si>
  <si>
    <t>Nov'15</t>
  </si>
  <si>
    <t>Dec'15</t>
  </si>
  <si>
    <t>Salary 1</t>
  </si>
  <si>
    <t>Salary 2</t>
  </si>
  <si>
    <t>Salary 3</t>
  </si>
  <si>
    <t>2014 EXPENSES</t>
  </si>
  <si>
    <t>Jan 2014</t>
  </si>
  <si>
    <t>Feb 2014</t>
  </si>
  <si>
    <t>Mar 2014</t>
  </si>
  <si>
    <t>Apr 2014</t>
  </si>
  <si>
    <t>May 2014</t>
  </si>
  <si>
    <t>Jun 2014</t>
  </si>
  <si>
    <t>Jul 2014</t>
  </si>
  <si>
    <t>Aug 2014</t>
  </si>
  <si>
    <t>Sep 2014</t>
  </si>
  <si>
    <t>Oct 2014</t>
  </si>
  <si>
    <t>Nov 2014</t>
  </si>
  <si>
    <t>Dec 2014</t>
  </si>
  <si>
    <t>Temple</t>
  </si>
  <si>
    <t>USBank Savings A/c-Meena's 10th W Anniversary Gift</t>
  </si>
  <si>
    <t>WDC-MS</t>
  </si>
  <si>
    <t>YMCA</t>
  </si>
  <si>
    <t>S-US Bank SKM CC 6020</t>
  </si>
  <si>
    <t>S-US Bank SKM CC 1807</t>
  </si>
  <si>
    <t>SM-Disc Monthly CC 0094</t>
  </si>
  <si>
    <t>S-US Bank CC 7569</t>
  </si>
  <si>
    <t>S-Summit SKM CC 2479</t>
  </si>
  <si>
    <t>S-Chase CC 6725</t>
  </si>
  <si>
    <t>S-Citibank CC 6282</t>
  </si>
  <si>
    <t>S-AT&amp;T Universal CC 2471</t>
  </si>
  <si>
    <t>S-American Express-SKM</t>
  </si>
  <si>
    <t>S-Sears Citi CC 3946</t>
  </si>
  <si>
    <t>S-Menards CC 8895</t>
  </si>
  <si>
    <t>SouthWest CC-SKM</t>
  </si>
  <si>
    <t>M-Bank of America 8650</t>
  </si>
  <si>
    <t>Kohl's Charge Card 052</t>
  </si>
  <si>
    <t>Target RedCard</t>
  </si>
  <si>
    <t>Misc. Expense</t>
  </si>
  <si>
    <t>S-American Express SKM</t>
  </si>
  <si>
    <t>S-Menards CC</t>
  </si>
  <si>
    <t>SouthWest CC - SKM</t>
  </si>
  <si>
    <t>S-Student Loan</t>
  </si>
  <si>
    <t>2013 EXPENSES</t>
  </si>
  <si>
    <t>Jan 2013</t>
  </si>
  <si>
    <t>Feb 2013</t>
  </si>
  <si>
    <t>Mar 2013</t>
  </si>
  <si>
    <t>Apr 2013</t>
  </si>
  <si>
    <t>May 2013</t>
  </si>
  <si>
    <t>Jun 2013</t>
  </si>
  <si>
    <t>Jul 2013</t>
  </si>
  <si>
    <t>Aug 2013</t>
  </si>
  <si>
    <t>Sep 2013</t>
  </si>
  <si>
    <t>Oct 2013</t>
  </si>
  <si>
    <t>Nov 2013</t>
  </si>
  <si>
    <t>Dec 2013</t>
  </si>
  <si>
    <t>1st - 15th</t>
  </si>
  <si>
    <t>103 Kelvington Home</t>
  </si>
  <si>
    <t>US Bank Savings-Meena's 10th W Anniversary Gift</t>
  </si>
  <si>
    <t>M-Citi CC/USBankskmCC 1807</t>
  </si>
  <si>
    <t>M-BankofAmerica 8650</t>
  </si>
  <si>
    <t>S-Disc Monthly CC</t>
  </si>
  <si>
    <t>USBank CC 7569</t>
  </si>
  <si>
    <t>Kohl's Charge Card</t>
  </si>
  <si>
    <t>SummitSKMCC</t>
  </si>
  <si>
    <t>American Express</t>
  </si>
  <si>
    <t>Citi - Student Loan</t>
  </si>
  <si>
    <t>We Energies</t>
  </si>
  <si>
    <t>M-Citi CC/USBankskmCC1807</t>
  </si>
  <si>
    <t xml:space="preserve">American Express </t>
  </si>
  <si>
    <t>Monthly Total</t>
  </si>
  <si>
    <t>2012 EXPENSES</t>
  </si>
  <si>
    <t>Jan 2012</t>
  </si>
  <si>
    <t>Feb 2012</t>
  </si>
  <si>
    <t>Mar 2012</t>
  </si>
  <si>
    <t>Apr 2012</t>
  </si>
  <si>
    <t>May 2012</t>
  </si>
  <si>
    <t>Jun 2012</t>
  </si>
  <si>
    <t>Jul 2012</t>
  </si>
  <si>
    <t>Aug 2012</t>
  </si>
  <si>
    <t>Sep 2012</t>
  </si>
  <si>
    <t>Oct 2012</t>
  </si>
  <si>
    <t>Nov 2012</t>
  </si>
  <si>
    <t>Dec 2012</t>
  </si>
  <si>
    <t>USBankSKMCC</t>
  </si>
  <si>
    <t>Chase Home Equity</t>
  </si>
  <si>
    <t>Meena's Salary Expenses 2012</t>
  </si>
  <si>
    <t>Balance Amt - End</t>
  </si>
  <si>
    <t>MYTHRI DAY CARE SAVINGS 2013</t>
  </si>
  <si>
    <t>103 Kelvington Home - Prop Tax</t>
  </si>
  <si>
    <t>Smitaji Tax Fee</t>
  </si>
  <si>
    <t>Home Loan Appraiser SCU</t>
  </si>
  <si>
    <t>SangPrem</t>
  </si>
  <si>
    <t>Meriter Hospital-Mythri</t>
  </si>
  <si>
    <t>M-MacBook Air</t>
  </si>
  <si>
    <t>M-Iphone 5</t>
  </si>
  <si>
    <t>Honda Odessey</t>
  </si>
  <si>
    <t>2011 EXPENSES</t>
  </si>
  <si>
    <t>Balance Amt</t>
  </si>
  <si>
    <t>Jan 2011</t>
  </si>
  <si>
    <t>Feb 2011</t>
  </si>
  <si>
    <t>Mar 2011</t>
  </si>
  <si>
    <t>Apr 2011</t>
  </si>
  <si>
    <t>May 2011</t>
  </si>
  <si>
    <t>Jun 2011</t>
  </si>
  <si>
    <t>Jul 2011</t>
  </si>
  <si>
    <t>Aug 2011</t>
  </si>
  <si>
    <t>Sep 2011</t>
  </si>
  <si>
    <t>Oct 2011</t>
  </si>
  <si>
    <t>Nov 2011</t>
  </si>
  <si>
    <t>Dec 2011</t>
  </si>
  <si>
    <t>S-Citi Card</t>
  </si>
  <si>
    <t>M-Citi-Paralegal</t>
  </si>
  <si>
    <t>M-BOA Monthly Exp</t>
  </si>
  <si>
    <t>Target</t>
  </si>
  <si>
    <t xml:space="preserve">
</t>
  </si>
  <si>
    <t>Bright Horizon</t>
  </si>
  <si>
    <t>15th - 30th</t>
  </si>
  <si>
    <t xml:space="preserve">Total </t>
  </si>
  <si>
    <t>Twos</t>
  </si>
  <si>
    <t>Preschool</t>
  </si>
  <si>
    <t>5 day</t>
  </si>
  <si>
    <t>3 day</t>
  </si>
  <si>
    <t>2 day</t>
  </si>
  <si>
    <t>Part Time 0-5hrs</t>
  </si>
  <si>
    <t>Full Time 5-10hrs</t>
  </si>
  <si>
    <t>Drop-in/Full Day</t>
  </si>
  <si>
    <t>2010 Expenses</t>
  </si>
  <si>
    <t>Jan 2010</t>
  </si>
  <si>
    <t>Feb 2010</t>
  </si>
  <si>
    <t>Mar 2010</t>
  </si>
  <si>
    <t>Apr 2010</t>
  </si>
  <si>
    <t>May 2010</t>
  </si>
  <si>
    <t>Jun 2010</t>
  </si>
  <si>
    <t>Jul 2010</t>
  </si>
  <si>
    <t>Aug 2010</t>
  </si>
  <si>
    <t>Sep 2010</t>
  </si>
  <si>
    <t>Oct 2010</t>
  </si>
  <si>
    <t>Nov 2010</t>
  </si>
  <si>
    <t>Dec 2010</t>
  </si>
  <si>
    <t>360+88</t>
  </si>
  <si>
    <t>US Bank Parking</t>
  </si>
  <si>
    <t>SKMSummitCC</t>
  </si>
  <si>
    <t>ACI-1941918-571</t>
  </si>
  <si>
    <t>100+2050.03+1450+2000+846.67</t>
  </si>
  <si>
    <t>Columbus Hospital</t>
  </si>
  <si>
    <t>25+1260+85+1500</t>
  </si>
  <si>
    <t>India T.Nagar Home</t>
  </si>
  <si>
    <t>BOA</t>
  </si>
  <si>
    <t>325+1700+3000+3300+140</t>
  </si>
  <si>
    <t>UW Health P-1196209</t>
  </si>
  <si>
    <t>50+15</t>
  </si>
  <si>
    <t>35+49.32</t>
  </si>
  <si>
    <t>100+1740</t>
  </si>
  <si>
    <t>Toyota Car</t>
  </si>
  <si>
    <t>309+5000+735+2000+2987</t>
  </si>
  <si>
    <t>Discover Card</t>
  </si>
  <si>
    <t>168+195</t>
  </si>
  <si>
    <t>2000+500</t>
  </si>
  <si>
    <t>Ameri Express</t>
  </si>
  <si>
    <t>186+250</t>
  </si>
  <si>
    <t>850+193</t>
  </si>
  <si>
    <t>8+259</t>
  </si>
  <si>
    <t>200+35</t>
  </si>
  <si>
    <t>M-Citi - Paralegal</t>
  </si>
  <si>
    <t>BH Day Care</t>
  </si>
  <si>
    <t>Miscellaneous Exp</t>
  </si>
  <si>
    <t>Chase - TV</t>
  </si>
  <si>
    <t>1200+450</t>
  </si>
  <si>
    <t>US Bank Co. Card</t>
  </si>
  <si>
    <t>107+4000+328+500+10+60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</si>
</sst>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mm d"/>
    <numFmt numFmtId="165" formatCode="m/d"/>
    <numFmt numFmtId="166" formatCode="m/d/yy"/>
    <numFmt numFmtId="167" formatCode="mmm d, yyyy"/>
    <numFmt numFmtId="168" formatCode="mmm yyyy"/>
    <numFmt numFmtId="169" formatCode="mmmm yyyy"/>
    <numFmt numFmtId="170" formatCode="#,##0.###############"/>
    <numFmt numFmtId="171" formatCode="&quot;$&quot;#,##0"/>
  </numFmts>
  <fonts count="36">
    <font>
      <sz val="10.0"/>
      <color rgb="FF000000"/>
      <name val="Arial"/>
      <scheme val="minor"/>
    </font>
    <font>
      <b/>
      <sz val="9.0"/>
      <color theme="1"/>
      <name val="Arial"/>
      <scheme val="minor"/>
    </font>
    <font>
      <sz val="9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b/>
      <sz val="10.0"/>
      <color rgb="FF000000"/>
      <name val="Arial"/>
    </font>
    <font>
      <b/>
      <sz val="10.0"/>
      <color theme="1"/>
      <name val="Arial"/>
    </font>
    <font>
      <sz val="10.0"/>
      <color theme="1"/>
      <name val="Arial"/>
    </font>
    <font>
      <sz val="12.0"/>
      <color rgb="FF000000"/>
      <name val="Calibri"/>
    </font>
    <font>
      <b/>
      <sz val="10.0"/>
      <color rgb="FF000000"/>
      <name val="Comfortaa"/>
    </font>
    <font>
      <b/>
      <sz val="9.0"/>
      <color rgb="FF000000"/>
      <name val="Comfortaa"/>
    </font>
    <font>
      <b/>
      <sz val="9.0"/>
      <color theme="1"/>
      <name val="Comfortaa"/>
    </font>
    <font>
      <color theme="1"/>
      <name val="Comfortaa"/>
    </font>
    <font>
      <b/>
      <color theme="1"/>
      <name val="Comfortaa"/>
    </font>
    <font>
      <b/>
      <sz val="9.0"/>
      <color theme="1"/>
      <name val="Fjalla One"/>
    </font>
    <font>
      <b/>
      <sz val="10.0"/>
      <color theme="1"/>
      <name val="Hind Siliguri"/>
    </font>
    <font>
      <b/>
      <color theme="1"/>
      <name val="Fjalla One"/>
    </font>
    <font>
      <b/>
      <sz val="11.0"/>
      <color theme="1"/>
      <name val="Hind Siliguri"/>
    </font>
    <font>
      <sz val="9.0"/>
      <color theme="1"/>
      <name val="Fjalla One"/>
    </font>
    <font>
      <sz val="10.0"/>
      <color theme="1"/>
      <name val="Hind Siliguri"/>
    </font>
    <font>
      <color theme="1"/>
      <name val="Fjalla One"/>
    </font>
    <font>
      <sz val="11.0"/>
      <color theme="1"/>
      <name val="Hind Siliguri"/>
    </font>
    <font>
      <b/>
      <color theme="1"/>
      <name val="Signika Negative"/>
    </font>
    <font>
      <b/>
      <sz val="9.0"/>
      <color theme="1"/>
      <name val="Signika Negative"/>
    </font>
    <font>
      <b/>
      <sz val="9.0"/>
      <color rgb="FF000000"/>
      <name val="Arial"/>
    </font>
    <font>
      <sz val="9.0"/>
      <color theme="1"/>
      <name val="Comfortaa"/>
    </font>
    <font>
      <b/>
      <sz val="10.0"/>
      <color rgb="FF000000"/>
      <name val="Arial"/>
      <scheme val="minor"/>
    </font>
    <font>
      <b/>
      <sz val="9.0"/>
      <color rgb="FF000000"/>
      <name val="Arial"/>
      <scheme val="minor"/>
    </font>
    <font>
      <b/>
      <color rgb="FF3C78D8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  <font>
      <sz val="9.0"/>
      <color rgb="FF000000"/>
      <name val="Arial"/>
      <scheme val="minor"/>
    </font>
  </fonts>
  <fills count="5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FFE599"/>
        <bgColor rgb="FFFFE599"/>
      </patternFill>
    </fill>
    <fill>
      <patternFill patternType="solid">
        <fgColor rgb="FFA2C4C9"/>
        <bgColor rgb="FFA2C4C9"/>
      </patternFill>
    </fill>
    <fill>
      <patternFill patternType="solid">
        <fgColor rgb="FF76A5AF"/>
        <bgColor rgb="FF76A5AF"/>
      </patternFill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F00FF"/>
        <bgColor rgb="FFFF00FF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F9CB9C"/>
        <bgColor rgb="FFF9CB9C"/>
      </patternFill>
    </fill>
    <fill>
      <patternFill patternType="solid">
        <fgColor rgb="FFD5A6BD"/>
        <bgColor rgb="FFD5A6BD"/>
      </patternFill>
    </fill>
    <fill>
      <patternFill patternType="solid">
        <fgColor rgb="FFF6B26B"/>
        <bgColor rgb="FFF6B26B"/>
      </patternFill>
    </fill>
    <fill>
      <patternFill patternType="solid">
        <fgColor rgb="FFC27BA0"/>
        <bgColor rgb="FFC27BA0"/>
      </patternFill>
    </fill>
    <fill>
      <patternFill patternType="solid">
        <fgColor rgb="FFE69138"/>
        <bgColor rgb="FFE69138"/>
      </patternFill>
    </fill>
    <fill>
      <patternFill patternType="solid">
        <fgColor rgb="FFA64D79"/>
        <bgColor rgb="FFA64D79"/>
      </patternFill>
    </fill>
    <fill>
      <patternFill patternType="solid">
        <fgColor rgb="FFB45F06"/>
        <bgColor rgb="FFB45F06"/>
      </patternFill>
    </fill>
    <fill>
      <patternFill patternType="solid">
        <fgColor rgb="FF741B47"/>
        <bgColor rgb="FF741B47"/>
      </patternFill>
    </fill>
    <fill>
      <patternFill patternType="solid">
        <fgColor rgb="FFB7B7B7"/>
        <bgColor rgb="FFB7B7B7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CFE2F3"/>
        <bgColor rgb="FFCFE2F3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3C78D8"/>
        <bgColor rgb="FF3C78D8"/>
      </patternFill>
    </fill>
    <fill>
      <patternFill patternType="solid">
        <fgColor rgb="FF9FC5E8"/>
        <bgColor rgb="FF9FC5E8"/>
      </patternFill>
    </fill>
    <fill>
      <patternFill patternType="solid">
        <fgColor rgb="FF1155CC"/>
        <bgColor rgb="FF1155CC"/>
      </patternFill>
    </fill>
    <fill>
      <patternFill patternType="solid">
        <fgColor rgb="FFBF9000"/>
        <bgColor rgb="FFBF9000"/>
      </patternFill>
    </fill>
    <fill>
      <patternFill patternType="solid">
        <fgColor rgb="FF6FA8DC"/>
        <bgColor rgb="FF6FA8DC"/>
      </patternFill>
    </fill>
    <fill>
      <patternFill patternType="solid">
        <fgColor rgb="FFF1C232"/>
        <bgColor rgb="FFF1C232"/>
      </patternFill>
    </fill>
    <fill>
      <patternFill patternType="solid">
        <fgColor rgb="FF7F6000"/>
        <bgColor rgb="FF7F6000"/>
      </patternFill>
    </fill>
    <fill>
      <patternFill patternType="solid">
        <fgColor rgb="FFE06666"/>
        <bgColor rgb="FFE06666"/>
      </patternFill>
    </fill>
    <fill>
      <patternFill patternType="solid">
        <fgColor rgb="FF6AA84F"/>
        <bgColor rgb="FF6AA84F"/>
      </patternFill>
    </fill>
    <fill>
      <patternFill patternType="solid">
        <fgColor rgb="FF8E7CC3"/>
        <bgColor rgb="FF8E7CC3"/>
      </patternFill>
    </fill>
    <fill>
      <patternFill patternType="solid">
        <fgColor rgb="FF45818E"/>
        <bgColor rgb="FF45818E"/>
      </patternFill>
    </fill>
    <fill>
      <patternFill patternType="solid">
        <fgColor rgb="FFEA9999"/>
        <bgColor rgb="FFEA9999"/>
      </patternFill>
    </fill>
    <fill>
      <patternFill patternType="solid">
        <fgColor rgb="FFCC0000"/>
        <bgColor rgb="FFCC0000"/>
      </patternFill>
    </fill>
    <fill>
      <patternFill patternType="solid">
        <fgColor rgb="FF3D85C6"/>
        <bgColor rgb="FF3D85C6"/>
      </patternFill>
    </fill>
    <fill>
      <patternFill patternType="solid">
        <fgColor rgb="FFE6B8AF"/>
        <bgColor rgb="FFE6B8AF"/>
      </patternFill>
    </fill>
    <fill>
      <patternFill patternType="solid">
        <fgColor rgb="FFEBD780"/>
        <bgColor rgb="FFEBD780"/>
      </patternFill>
    </fill>
    <fill>
      <patternFill patternType="solid">
        <fgColor rgb="FFFFCC99"/>
        <bgColor rgb="FFFFCC99"/>
      </patternFill>
    </fill>
    <fill>
      <patternFill patternType="solid">
        <fgColor rgb="FFF4CCCC"/>
        <bgColor rgb="FFF4CCCC"/>
      </patternFill>
    </fill>
    <fill>
      <patternFill patternType="solid">
        <fgColor rgb="FFB3D580"/>
        <bgColor rgb="FFB3D580"/>
      </patternFill>
    </fill>
    <fill>
      <patternFill patternType="solid">
        <fgColor rgb="FFCC99FF"/>
        <bgColor rgb="FFCC99FF"/>
      </patternFill>
    </fill>
    <fill>
      <patternFill patternType="solid">
        <fgColor rgb="FFE69999"/>
        <bgColor rgb="FFE69999"/>
      </patternFill>
    </fill>
  </fills>
  <borders count="1">
    <border/>
  </borders>
  <cellStyleXfs count="1">
    <xf borderId="0" fillId="0" fontId="0" numFmtId="0" applyAlignment="1" applyFont="1"/>
  </cellStyleXfs>
  <cellXfs count="367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readingOrder="0" shrinkToFit="0" wrapText="1"/>
    </xf>
    <xf borderId="0" fillId="2" fontId="2" numFmtId="0" xfId="0" applyAlignment="1" applyFont="1">
      <alignment readingOrder="0" shrinkToFit="0" wrapText="1"/>
    </xf>
    <xf borderId="0" fillId="3" fontId="1" numFmtId="0" xfId="0" applyAlignment="1" applyFill="1" applyFont="1">
      <alignment readingOrder="0" shrinkToFit="0" wrapText="1"/>
    </xf>
    <xf borderId="0" fillId="3" fontId="2" numFmtId="0" xfId="0" applyAlignment="1" applyFont="1">
      <alignment readingOrder="0" shrinkToFit="0" wrapText="1"/>
    </xf>
    <xf borderId="0" fillId="4" fontId="1" numFmtId="0" xfId="0" applyAlignment="1" applyFill="1" applyFont="1">
      <alignment readingOrder="0" shrinkToFit="0" wrapText="1"/>
    </xf>
    <xf borderId="0" fillId="4" fontId="2" numFmtId="0" xfId="0" applyAlignment="1" applyFont="1">
      <alignment shrinkToFit="0" wrapText="1"/>
    </xf>
    <xf borderId="0" fillId="5" fontId="1" numFmtId="0" xfId="0" applyAlignment="1" applyFill="1" applyFont="1">
      <alignment readingOrder="0" shrinkToFit="0" wrapText="1"/>
    </xf>
    <xf borderId="0" fillId="5" fontId="2" numFmtId="0" xfId="0" applyAlignment="1" applyFont="1">
      <alignment readingOrder="0" shrinkToFit="0" wrapText="1"/>
    </xf>
    <xf borderId="0" fillId="6" fontId="2" numFmtId="0" xfId="0" applyAlignment="1" applyFill="1" applyFont="1">
      <alignment readingOrder="0" shrinkToFit="0" wrapText="1"/>
    </xf>
    <xf borderId="0" fillId="6" fontId="1" numFmtId="0" xfId="0" applyAlignment="1" applyFont="1">
      <alignment readingOrder="0" shrinkToFit="0" wrapText="1"/>
    </xf>
    <xf borderId="0" fillId="6" fontId="2" numFmtId="0" xfId="0" applyAlignment="1" applyFont="1">
      <alignment shrinkToFit="0" wrapText="1"/>
    </xf>
    <xf borderId="0" fillId="7" fontId="2" numFmtId="0" xfId="0" applyAlignment="1" applyFill="1" applyFont="1">
      <alignment readingOrder="0" shrinkToFit="0" wrapText="1"/>
    </xf>
    <xf borderId="0" fillId="7" fontId="1" numFmtId="0" xfId="0" applyAlignment="1" applyFont="1">
      <alignment readingOrder="0" shrinkToFit="0" wrapText="1"/>
    </xf>
    <xf borderId="0" fillId="7" fontId="2" numFmtId="0" xfId="0" applyAlignment="1" applyFont="1">
      <alignment shrinkToFit="0" wrapText="1"/>
    </xf>
    <xf borderId="0" fillId="7" fontId="1" numFmtId="0" xfId="0" applyAlignment="1" applyFont="1">
      <alignment shrinkToFit="0" wrapText="1"/>
    </xf>
    <xf borderId="0" fillId="8" fontId="1" numFmtId="0" xfId="0" applyAlignment="1" applyFill="1" applyFont="1">
      <alignment readingOrder="0" shrinkToFit="0" wrapText="1"/>
    </xf>
    <xf borderId="0" fillId="8" fontId="1" numFmtId="0" xfId="0" applyAlignment="1" applyFont="1">
      <alignment shrinkToFit="0" wrapText="1"/>
    </xf>
    <xf borderId="0" fillId="8" fontId="2" numFmtId="0" xfId="0" applyAlignment="1" applyFont="1">
      <alignment shrinkToFit="0" wrapText="1"/>
    </xf>
    <xf borderId="0" fillId="9" fontId="1" numFmtId="0" xfId="0" applyAlignment="1" applyFill="1" applyFont="1">
      <alignment readingOrder="0" shrinkToFit="0" wrapText="1"/>
    </xf>
    <xf borderId="0" fillId="9" fontId="2" numFmtId="0" xfId="0" applyAlignment="1" applyFont="1">
      <alignment readingOrder="0" shrinkToFit="0" wrapText="1"/>
    </xf>
    <xf borderId="0" fillId="10" fontId="1" numFmtId="0" xfId="0" applyAlignment="1" applyFill="1" applyFont="1">
      <alignment readingOrder="0" shrinkToFit="0" wrapText="1"/>
    </xf>
    <xf borderId="0" fillId="10" fontId="2" numFmtId="0" xfId="0" applyAlignment="1" applyFont="1">
      <alignment shrinkToFit="0" wrapText="1"/>
    </xf>
    <xf borderId="0" fillId="11" fontId="2" numFmtId="0" xfId="0" applyAlignment="1" applyFill="1" applyFont="1">
      <alignment readingOrder="0" shrinkToFit="0" wrapText="1"/>
    </xf>
    <xf borderId="0" fillId="11" fontId="1" numFmtId="0" xfId="0" applyAlignment="1" applyFont="1">
      <alignment readingOrder="0" shrinkToFit="0" wrapText="1"/>
    </xf>
    <xf borderId="0" fillId="11" fontId="2" numFmtId="0" xfId="0" applyAlignment="1" applyFont="1">
      <alignment shrinkToFit="0" wrapText="1"/>
    </xf>
    <xf borderId="0" fillId="6" fontId="1" numFmtId="0" xfId="0" applyAlignment="1" applyFont="1">
      <alignment shrinkToFit="0" wrapText="1"/>
    </xf>
    <xf borderId="0" fillId="11" fontId="1" numFmtId="0" xfId="0" applyAlignment="1" applyFont="1">
      <alignment shrinkToFit="0" wrapText="1"/>
    </xf>
    <xf borderId="0" fillId="12" fontId="1" numFmtId="0" xfId="0" applyAlignment="1" applyFill="1" applyFont="1">
      <alignment readingOrder="0" shrinkToFit="0" wrapText="1"/>
    </xf>
    <xf borderId="0" fillId="12" fontId="1" numFmtId="0" xfId="0" applyAlignment="1" applyFont="1">
      <alignment shrinkToFit="0" wrapText="1"/>
    </xf>
    <xf borderId="0" fillId="12" fontId="2" numFmtId="0" xfId="0" applyAlignment="1" applyFont="1">
      <alignment shrinkToFit="0" wrapText="1"/>
    </xf>
    <xf borderId="0" fillId="13" fontId="1" numFmtId="0" xfId="0" applyAlignment="1" applyFill="1" applyFont="1">
      <alignment readingOrder="0" shrinkToFit="0" wrapText="1"/>
    </xf>
    <xf borderId="0" fillId="13" fontId="1" numFmtId="0" xfId="0" applyAlignment="1" applyFont="1">
      <alignment shrinkToFit="0" wrapText="1"/>
    </xf>
    <xf borderId="0" fillId="13" fontId="2" numFmtId="0" xfId="0" applyAlignment="1" applyFont="1">
      <alignment shrinkToFit="0" wrapText="1"/>
    </xf>
    <xf borderId="0" fillId="14" fontId="3" numFmtId="0" xfId="0" applyAlignment="1" applyFill="1" applyFont="1">
      <alignment readingOrder="0" shrinkToFit="0" wrapText="1"/>
    </xf>
    <xf borderId="0" fillId="14" fontId="4" numFmtId="0" xfId="0" applyAlignment="1" applyFont="1">
      <alignment shrinkToFit="0" wrapText="1"/>
    </xf>
    <xf borderId="0" fillId="14" fontId="3" numFmtId="0" xfId="0" applyAlignment="1" applyFont="1">
      <alignment readingOrder="0" shrinkToFit="0" wrapText="1"/>
    </xf>
    <xf borderId="0" fillId="14" fontId="4" numFmtId="0" xfId="0" applyAlignment="1" applyFont="1">
      <alignment shrinkToFit="0" wrapText="1"/>
    </xf>
    <xf borderId="0" fillId="14" fontId="4" numFmtId="0" xfId="0" applyAlignment="1" applyFont="1">
      <alignment readingOrder="0" shrinkToFit="0" wrapText="1"/>
    </xf>
    <xf borderId="0" fillId="14" fontId="4" numFmtId="0" xfId="0" applyAlignment="1" applyFont="1">
      <alignment readingOrder="0" shrinkToFit="0" wrapText="1"/>
    </xf>
    <xf borderId="0" fillId="15" fontId="3" numFmtId="0" xfId="0" applyAlignment="1" applyFill="1" applyFont="1">
      <alignment readingOrder="0" shrinkToFit="0" wrapText="1"/>
    </xf>
    <xf borderId="0" fillId="15" fontId="4" numFmtId="0" xfId="0" applyAlignment="1" applyFont="1">
      <alignment readingOrder="0" shrinkToFit="0" wrapText="1"/>
    </xf>
    <xf borderId="0" fillId="16" fontId="3" numFmtId="0" xfId="0" applyAlignment="1" applyFill="1" applyFont="1">
      <alignment readingOrder="0" shrinkToFit="0" wrapText="1"/>
    </xf>
    <xf borderId="0" fillId="16" fontId="4" numFmtId="0" xfId="0" applyAlignment="1" applyFont="1">
      <alignment readingOrder="0" shrinkToFit="0" wrapText="1"/>
    </xf>
    <xf borderId="0" fillId="17" fontId="4" numFmtId="0" xfId="0" applyAlignment="1" applyFill="1" applyFont="1">
      <alignment readingOrder="0" shrinkToFit="0" wrapText="1"/>
    </xf>
    <xf borderId="0" fillId="17" fontId="4" numFmtId="0" xfId="0" applyAlignment="1" applyFont="1">
      <alignment shrinkToFit="0" wrapText="1"/>
    </xf>
    <xf borderId="0" fillId="18" fontId="4" numFmtId="0" xfId="0" applyAlignment="1" applyFill="1" applyFont="1">
      <alignment readingOrder="0" shrinkToFit="0" wrapText="1"/>
    </xf>
    <xf borderId="0" fillId="18" fontId="4" numFmtId="0" xfId="0" applyAlignment="1" applyFont="1">
      <alignment shrinkToFit="0" wrapText="1"/>
    </xf>
    <xf borderId="0" fillId="19" fontId="4" numFmtId="0" xfId="0" applyAlignment="1" applyFill="1" applyFont="1">
      <alignment readingOrder="0" shrinkToFit="0" wrapText="1"/>
    </xf>
    <xf borderId="0" fillId="19" fontId="4" numFmtId="0" xfId="0" applyAlignment="1" applyFont="1">
      <alignment shrinkToFit="0" wrapText="1"/>
    </xf>
    <xf borderId="0" fillId="20" fontId="4" numFmtId="0" xfId="0" applyAlignment="1" applyFill="1" applyFont="1">
      <alignment readingOrder="0" shrinkToFit="0" wrapText="1"/>
    </xf>
    <xf borderId="0" fillId="20" fontId="4" numFmtId="0" xfId="0" applyAlignment="1" applyFont="1">
      <alignment shrinkToFit="0" wrapText="1"/>
    </xf>
    <xf borderId="0" fillId="21" fontId="4" numFmtId="0" xfId="0" applyAlignment="1" applyFill="1" applyFont="1">
      <alignment readingOrder="0" shrinkToFit="0" wrapText="1"/>
    </xf>
    <xf borderId="0" fillId="21" fontId="4" numFmtId="0" xfId="0" applyAlignment="1" applyFont="1">
      <alignment shrinkToFit="0" wrapText="1"/>
    </xf>
    <xf borderId="0" fillId="22" fontId="4" numFmtId="0" xfId="0" applyAlignment="1" applyFill="1" applyFont="1">
      <alignment readingOrder="0" shrinkToFit="0" wrapText="1"/>
    </xf>
    <xf borderId="0" fillId="22" fontId="4" numFmtId="0" xfId="0" applyAlignment="1" applyFont="1">
      <alignment shrinkToFit="0" wrapText="1"/>
    </xf>
    <xf borderId="0" fillId="23" fontId="4" numFmtId="0" xfId="0" applyAlignment="1" applyFill="1" applyFont="1">
      <alignment readingOrder="0" shrinkToFit="0" wrapText="1"/>
    </xf>
    <xf borderId="0" fillId="23" fontId="4" numFmtId="0" xfId="0" applyAlignment="1" applyFont="1">
      <alignment shrinkToFit="0" wrapText="1"/>
    </xf>
    <xf borderId="0" fillId="24" fontId="4" numFmtId="0" xfId="0" applyAlignment="1" applyFill="1" applyFont="1">
      <alignment readingOrder="0" shrinkToFit="0" wrapText="1"/>
    </xf>
    <xf borderId="0" fillId="24" fontId="4" numFmtId="0" xfId="0" applyAlignment="1" applyFont="1">
      <alignment shrinkToFit="0" wrapText="1"/>
    </xf>
    <xf borderId="0" fillId="25" fontId="4" numFmtId="0" xfId="0" applyAlignment="1" applyFill="1" applyFont="1">
      <alignment readingOrder="0" shrinkToFit="0" wrapText="1"/>
    </xf>
    <xf borderId="0" fillId="25" fontId="4" numFmtId="0" xfId="0" applyAlignment="1" applyFont="1">
      <alignment shrinkToFit="0" wrapText="1"/>
    </xf>
    <xf borderId="0" fillId="26" fontId="4" numFmtId="0" xfId="0" applyAlignment="1" applyFill="1" applyFont="1">
      <alignment readingOrder="0" shrinkToFit="0" wrapText="1"/>
    </xf>
    <xf borderId="0" fillId="26" fontId="4" numFmtId="0" xfId="0" applyAlignment="1" applyFont="1">
      <alignment shrinkToFit="0" wrapText="1"/>
    </xf>
    <xf borderId="0" fillId="3" fontId="5" numFmtId="0" xfId="0" applyAlignment="1" applyFont="1">
      <alignment shrinkToFit="0" vertical="bottom" wrapText="1"/>
    </xf>
    <xf borderId="0" fillId="3" fontId="5" numFmtId="0" xfId="0" applyAlignment="1" applyFont="1">
      <alignment horizontal="right" shrinkToFit="0" vertical="bottom" wrapText="1"/>
    </xf>
    <xf borderId="0" fillId="3" fontId="6" numFmtId="0" xfId="0" applyAlignment="1" applyFont="1">
      <alignment shrinkToFit="0" vertical="bottom" wrapText="1"/>
    </xf>
    <xf borderId="0" fillId="3" fontId="6" numFmtId="0" xfId="0" applyAlignment="1" applyFont="1">
      <alignment horizontal="right" shrinkToFit="0" vertical="bottom" wrapText="1"/>
    </xf>
    <xf borderId="0" fillId="0" fontId="6" numFmtId="0" xfId="0" applyAlignment="1" applyFont="1">
      <alignment shrinkToFit="0" vertical="bottom" wrapText="1"/>
    </xf>
    <xf borderId="0" fillId="3" fontId="6" numFmtId="0" xfId="0" applyAlignment="1" applyFont="1">
      <alignment horizontal="right" readingOrder="0" shrinkToFit="0" vertical="bottom" wrapText="1"/>
    </xf>
    <xf borderId="0" fillId="3" fontId="7" numFmtId="0" xfId="0" applyAlignment="1" applyFont="1">
      <alignment horizontal="center" shrinkToFit="0" wrapText="1"/>
    </xf>
    <xf borderId="0" fillId="3" fontId="7" numFmtId="0" xfId="0" applyAlignment="1" applyFont="1">
      <alignment shrinkToFit="0" wrapText="1"/>
    </xf>
    <xf borderId="0" fillId="3" fontId="8" numFmtId="0" xfId="0" applyAlignment="1" applyFont="1">
      <alignment shrinkToFit="0" wrapText="1"/>
    </xf>
    <xf borderId="0" fillId="0" fontId="6" numFmtId="0" xfId="0" applyAlignment="1" applyFont="1">
      <alignment shrinkToFit="0" wrapText="1"/>
    </xf>
    <xf borderId="0" fillId="5" fontId="8" numFmtId="0" xfId="0" applyAlignment="1" applyFont="1">
      <alignment horizontal="center" shrinkToFit="0" vertical="bottom" wrapText="1"/>
    </xf>
    <xf borderId="0" fillId="5" fontId="8" numFmtId="0" xfId="0" applyAlignment="1" applyFont="1">
      <alignment shrinkToFit="0" wrapText="1"/>
    </xf>
    <xf borderId="0" fillId="5" fontId="8" numFmtId="0" xfId="0" applyAlignment="1" applyFont="1">
      <alignment readingOrder="0" shrinkToFit="0" wrapText="1"/>
    </xf>
    <xf borderId="0" fillId="5" fontId="3" numFmtId="0" xfId="0" applyAlignment="1" applyFont="1">
      <alignment readingOrder="0" shrinkToFit="0" wrapText="1"/>
    </xf>
    <xf borderId="0" fillId="5" fontId="9" numFmtId="0" xfId="0" applyAlignment="1" applyFont="1">
      <alignment shrinkToFit="0" wrapText="1"/>
    </xf>
    <xf borderId="0" fillId="5" fontId="9" numFmtId="0" xfId="0" applyAlignment="1" applyFont="1">
      <alignment readingOrder="0" shrinkToFit="0" wrapText="1"/>
    </xf>
    <xf borderId="0" fillId="2" fontId="8" numFmtId="0" xfId="0" applyAlignment="1" applyFont="1">
      <alignment readingOrder="0" shrinkToFit="0" wrapText="1"/>
    </xf>
    <xf borderId="0" fillId="5" fontId="9" numFmtId="0" xfId="0" applyAlignment="1" applyFont="1">
      <alignment horizontal="left" readingOrder="0" shrinkToFit="0" wrapText="1"/>
    </xf>
    <xf borderId="0" fillId="5" fontId="9" numFmtId="0" xfId="0" applyAlignment="1" applyFont="1">
      <alignment horizontal="left" shrinkToFit="0" wrapText="1"/>
    </xf>
    <xf borderId="0" fillId="2" fontId="8" numFmtId="0" xfId="0" applyAlignment="1" applyFont="1">
      <alignment horizontal="left" readingOrder="0" shrinkToFit="0" wrapText="1"/>
    </xf>
    <xf borderId="0" fillId="5" fontId="8" numFmtId="0" xfId="0" applyAlignment="1" applyFont="1">
      <alignment horizontal="left" shrinkToFit="0" wrapText="1"/>
    </xf>
    <xf borderId="0" fillId="27" fontId="8" numFmtId="0" xfId="0" applyAlignment="1" applyFill="1" applyFont="1">
      <alignment horizontal="left" shrinkToFit="0" wrapText="1"/>
    </xf>
    <xf borderId="0" fillId="27" fontId="9" numFmtId="0" xfId="0" applyAlignment="1" applyFont="1">
      <alignment horizontal="left" shrinkToFit="0" wrapText="1"/>
    </xf>
    <xf borderId="0" fillId="27" fontId="8" numFmtId="0" xfId="0" applyAlignment="1" applyFont="1">
      <alignment shrinkToFit="0" wrapText="1"/>
    </xf>
    <xf borderId="0" fillId="3" fontId="8" numFmtId="0" xfId="0" applyAlignment="1" applyFont="1">
      <alignment horizontal="center" shrinkToFit="0" vertical="bottom" wrapText="1"/>
    </xf>
    <xf borderId="0" fillId="3" fontId="9" numFmtId="0" xfId="0" applyAlignment="1" applyFont="1">
      <alignment shrinkToFit="0" wrapText="1"/>
    </xf>
    <xf borderId="0" fillId="14" fontId="8" numFmtId="0" xfId="0" applyAlignment="1" applyFont="1">
      <alignment shrinkToFit="0" wrapText="1"/>
    </xf>
    <xf borderId="0" fillId="11" fontId="8" numFmtId="0" xfId="0" applyAlignment="1" applyFont="1">
      <alignment shrinkToFit="0" wrapText="1"/>
    </xf>
    <xf borderId="0" fillId="11" fontId="8" numFmtId="0" xfId="0" applyAlignment="1" applyFont="1">
      <alignment readingOrder="0" shrinkToFit="0" wrapText="1"/>
    </xf>
    <xf borderId="0" fillId="10" fontId="9" numFmtId="0" xfId="0" applyAlignment="1" applyFont="1">
      <alignment shrinkToFit="0" wrapText="1"/>
    </xf>
    <xf borderId="0" fillId="10" fontId="8" numFmtId="0" xfId="0" applyAlignment="1" applyFont="1">
      <alignment shrinkToFit="0" wrapText="1"/>
    </xf>
    <xf borderId="0" fillId="10" fontId="9" numFmtId="0" xfId="0" applyAlignment="1" applyFont="1">
      <alignment readingOrder="0" shrinkToFit="0" wrapText="1"/>
    </xf>
    <xf borderId="0" fillId="10" fontId="8" numFmtId="0" xfId="0" applyAlignment="1" applyFont="1">
      <alignment readingOrder="0" shrinkToFit="0" wrapText="1"/>
    </xf>
    <xf borderId="0" fillId="27" fontId="9" numFmtId="0" xfId="0" applyAlignment="1" applyFont="1">
      <alignment shrinkToFit="0" wrapText="1"/>
    </xf>
    <xf borderId="0" fillId="27" fontId="5" numFmtId="0" xfId="0" applyAlignment="1" applyFont="1">
      <alignment shrinkToFit="0" wrapText="1"/>
    </xf>
    <xf borderId="0" fillId="27" fontId="6" numFmtId="0" xfId="0" applyAlignment="1" applyFont="1">
      <alignment shrinkToFit="0" wrapText="1"/>
    </xf>
    <xf borderId="0" fillId="0" fontId="4" numFmtId="0" xfId="0" applyAlignment="1" applyFont="1">
      <alignment readingOrder="0" shrinkToFit="0" wrapText="1"/>
    </xf>
    <xf borderId="0" fillId="3" fontId="3" numFmtId="0" xfId="0" applyAlignment="1" applyFont="1">
      <alignment readingOrder="0" shrinkToFit="0" wrapText="1"/>
    </xf>
    <xf borderId="0" fillId="3" fontId="4" numFmtId="0" xfId="0" applyAlignment="1" applyFont="1">
      <alignment shrinkToFit="0" wrapText="1"/>
    </xf>
    <xf borderId="0" fillId="3" fontId="4" numFmtId="0" xfId="0" applyAlignment="1" applyFont="1">
      <alignment readingOrder="0" shrinkToFit="0" wrapText="1"/>
    </xf>
    <xf borderId="0" fillId="4" fontId="3" numFmtId="0" xfId="0" applyAlignment="1" applyFont="1">
      <alignment readingOrder="0" shrinkToFit="0" wrapText="1"/>
    </xf>
    <xf borderId="0" fillId="4" fontId="3" numFmtId="0" xfId="0" applyAlignment="1" applyFont="1">
      <alignment shrinkToFit="0" wrapText="1"/>
    </xf>
    <xf borderId="0" fillId="14" fontId="3" numFmtId="0" xfId="0" applyAlignment="1" applyFont="1">
      <alignment shrinkToFit="0" wrapText="1"/>
    </xf>
    <xf borderId="0" fillId="4" fontId="4" numFmtId="0" xfId="0" applyAlignment="1" applyFont="1">
      <alignment readingOrder="0" shrinkToFit="0" wrapText="1"/>
    </xf>
    <xf borderId="0" fillId="4" fontId="4" numFmtId="0" xfId="0" applyAlignment="1" applyFont="1">
      <alignment shrinkToFit="0" wrapText="1"/>
    </xf>
    <xf borderId="0" fillId="4" fontId="4" numFmtId="0" xfId="0" applyAlignment="1" applyFont="1">
      <alignment readingOrder="0" shrinkToFit="0" wrapText="1"/>
    </xf>
    <xf borderId="0" fillId="4" fontId="3" numFmtId="0" xfId="0" applyAlignment="1" applyFont="1">
      <alignment readingOrder="0" shrinkToFit="0" wrapText="1"/>
    </xf>
    <xf borderId="0" fillId="4" fontId="4" numFmtId="0" xfId="0" applyAlignment="1" applyFont="1">
      <alignment shrinkToFit="0" wrapText="1"/>
    </xf>
    <xf borderId="0" fillId="4" fontId="3" numFmtId="0" xfId="0" applyAlignment="1" applyFont="1">
      <alignment shrinkToFit="0" wrapText="1"/>
    </xf>
    <xf borderId="0" fillId="10" fontId="3" numFmtId="0" xfId="0" applyAlignment="1" applyFont="1">
      <alignment readingOrder="0" shrinkToFit="0" wrapText="1"/>
    </xf>
    <xf borderId="0" fillId="10" fontId="4" numFmtId="0" xfId="0" applyAlignment="1" applyFont="1">
      <alignment shrinkToFit="0" wrapText="1"/>
    </xf>
    <xf borderId="0" fillId="2" fontId="3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shrinkToFit="0" wrapText="1"/>
    </xf>
    <xf borderId="0" fillId="20" fontId="4" numFmtId="0" xfId="0" applyAlignment="1" applyFont="1">
      <alignment horizontal="center" shrinkToFit="0" wrapText="1"/>
    </xf>
    <xf borderId="0" fillId="20" fontId="4" numFmtId="0" xfId="0" applyAlignment="1" applyFont="1">
      <alignment shrinkToFit="0" wrapText="1"/>
    </xf>
    <xf borderId="0" fillId="6" fontId="4" numFmtId="0" xfId="0" applyAlignment="1" applyFont="1">
      <alignment horizontal="center" shrinkToFit="0" wrapText="1"/>
    </xf>
    <xf borderId="0" fillId="6" fontId="4" numFmtId="0" xfId="0" applyAlignment="1" applyFont="1">
      <alignment shrinkToFit="0" wrapText="1"/>
    </xf>
    <xf borderId="0" fillId="18" fontId="3" numFmtId="0" xfId="0" applyAlignment="1" applyFont="1">
      <alignment shrinkToFit="0" wrapText="1"/>
    </xf>
    <xf borderId="0" fillId="18" fontId="3" numFmtId="165" xfId="0" applyAlignment="1" applyFont="1" applyNumberFormat="1">
      <alignment shrinkToFit="0" wrapText="1"/>
    </xf>
    <xf borderId="0" fillId="18" fontId="4" numFmtId="0" xfId="0" applyAlignment="1" applyFont="1">
      <alignment shrinkToFit="0" wrapText="1"/>
    </xf>
    <xf borderId="0" fillId="4" fontId="6" numFmtId="0" xfId="0" applyAlignment="1" applyFont="1">
      <alignment shrinkToFit="0" vertical="bottom" wrapText="1"/>
    </xf>
    <xf borderId="0" fillId="28" fontId="3" numFmtId="0" xfId="0" applyAlignment="1" applyFill="1" applyFont="1">
      <alignment shrinkToFit="0" wrapText="1"/>
    </xf>
    <xf borderId="0" fillId="28" fontId="4" numFmtId="0" xfId="0" applyAlignment="1" applyFont="1">
      <alignment shrinkToFit="0" wrapText="1"/>
    </xf>
    <xf borderId="0" fillId="2" fontId="4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0" fillId="10" fontId="3" numFmtId="0" xfId="0" applyAlignment="1" applyFont="1">
      <alignment shrinkToFit="0" wrapText="1"/>
    </xf>
    <xf borderId="0" fillId="2" fontId="3" numFmtId="165" xfId="0" applyAlignment="1" applyFont="1" applyNumberFormat="1">
      <alignment shrinkToFit="0" wrapText="1"/>
    </xf>
    <xf borderId="0" fillId="2" fontId="3" numFmtId="0" xfId="0" applyAlignment="1" applyFont="1">
      <alignment shrinkToFit="0" wrapText="1"/>
    </xf>
    <xf borderId="0" fillId="10" fontId="4" numFmtId="0" xfId="0" applyAlignment="1" applyFont="1">
      <alignment shrinkToFit="0" wrapText="1"/>
    </xf>
    <xf borderId="0" fillId="14" fontId="4" numFmtId="0" xfId="0" applyAlignment="1" applyFont="1">
      <alignment horizontal="center" shrinkToFit="0" wrapText="1"/>
    </xf>
    <xf borderId="0" fillId="14" fontId="6" numFmtId="0" xfId="0" applyAlignment="1" applyFont="1">
      <alignment shrinkToFit="0" vertical="bottom" wrapText="1"/>
    </xf>
    <xf borderId="0" fillId="17" fontId="3" numFmtId="0" xfId="0" applyAlignment="1" applyFont="1">
      <alignment shrinkToFit="0" wrapText="1"/>
    </xf>
    <xf borderId="0" fillId="17" fontId="4" numFmtId="0" xfId="0" applyAlignment="1" applyFont="1">
      <alignment shrinkToFit="0" wrapText="1"/>
    </xf>
    <xf borderId="0" fillId="0" fontId="10" numFmtId="0" xfId="0" applyAlignment="1" applyFont="1">
      <alignment shrinkToFit="0" vertical="bottom" wrapText="0"/>
    </xf>
    <xf borderId="0" fillId="0" fontId="10" numFmtId="0" xfId="0" applyAlignment="1" applyFont="1">
      <alignment horizontal="right" shrinkToFit="0" vertical="bottom" wrapText="0"/>
    </xf>
    <xf borderId="0" fillId="0" fontId="10" numFmtId="166" xfId="0" applyAlignment="1" applyFont="1" applyNumberFormat="1">
      <alignment horizontal="right" shrinkToFit="0" vertical="bottom" wrapText="0"/>
    </xf>
    <xf borderId="0" fillId="3" fontId="11" numFmtId="0" xfId="0" applyAlignment="1" applyFont="1">
      <alignment horizontal="center" shrinkToFit="0" wrapText="1"/>
    </xf>
    <xf borderId="0" fillId="3" fontId="12" numFmtId="0" xfId="0" applyAlignment="1" applyFont="1">
      <alignment shrinkToFit="0" wrapText="1"/>
    </xf>
    <xf borderId="0" fillId="3" fontId="13" numFmtId="0" xfId="0" applyAlignment="1" applyFont="1">
      <alignment shrinkToFit="0" wrapText="1"/>
    </xf>
    <xf borderId="0" fillId="0" fontId="14" numFmtId="0" xfId="0" applyAlignment="1" applyFont="1">
      <alignment shrinkToFit="0" wrapText="1"/>
    </xf>
    <xf borderId="0" fillId="3" fontId="15" numFmtId="0" xfId="0" applyAlignment="1" applyFont="1">
      <alignment shrinkToFit="0" wrapText="1"/>
    </xf>
    <xf borderId="0" fillId="5" fontId="16" numFmtId="0" xfId="0" applyAlignment="1" applyFont="1">
      <alignment horizontal="center" shrinkToFit="0" vertical="bottom" wrapText="1"/>
    </xf>
    <xf borderId="0" fillId="5" fontId="17" numFmtId="0" xfId="0" applyAlignment="1" applyFont="1">
      <alignment shrinkToFit="0" wrapText="1"/>
    </xf>
    <xf borderId="0" fillId="5" fontId="18" numFmtId="0" xfId="0" applyAlignment="1" applyFont="1">
      <alignment shrinkToFit="0" wrapText="1"/>
    </xf>
    <xf borderId="0" fillId="29" fontId="4" numFmtId="0" xfId="0" applyAlignment="1" applyFill="1" applyFont="1">
      <alignment shrinkToFit="0" wrapText="1"/>
    </xf>
    <xf borderId="0" fillId="29" fontId="3" numFmtId="0" xfId="0" applyAlignment="1" applyFont="1">
      <alignment shrinkToFit="0" wrapText="1"/>
    </xf>
    <xf borderId="0" fillId="5" fontId="19" numFmtId="0" xfId="0" applyAlignment="1" applyFont="1">
      <alignment shrinkToFit="0" wrapText="1"/>
    </xf>
    <xf borderId="0" fillId="5" fontId="20" numFmtId="0" xfId="0" applyAlignment="1" applyFont="1">
      <alignment shrinkToFit="0" wrapText="1"/>
    </xf>
    <xf borderId="0" fillId="5" fontId="21" numFmtId="0" xfId="0" applyAlignment="1" applyFont="1">
      <alignment shrinkToFit="0" wrapText="1"/>
    </xf>
    <xf borderId="0" fillId="5" fontId="22" numFmtId="0" xfId="0" applyAlignment="1" applyFont="1">
      <alignment shrinkToFit="0" wrapText="1"/>
    </xf>
    <xf borderId="0" fillId="5" fontId="23" numFmtId="0" xfId="0" applyAlignment="1" applyFont="1">
      <alignment shrinkToFit="0" wrapText="1"/>
    </xf>
    <xf borderId="0" fillId="5" fontId="4" numFmtId="0" xfId="0" applyAlignment="1" applyFont="1">
      <alignment shrinkToFit="0" wrapText="1"/>
    </xf>
    <xf borderId="0" fillId="5" fontId="24" numFmtId="0" xfId="0" applyAlignment="1" applyFont="1">
      <alignment shrinkToFit="0" wrapText="1"/>
    </xf>
    <xf borderId="0" fillId="5" fontId="25" numFmtId="0" xfId="0" applyAlignment="1" applyFont="1">
      <alignment shrinkToFit="0" wrapText="1"/>
    </xf>
    <xf borderId="0" fillId="3" fontId="13" numFmtId="0" xfId="0" applyAlignment="1" applyFont="1">
      <alignment horizontal="center" shrinkToFit="0" vertical="bottom" wrapText="1"/>
    </xf>
    <xf borderId="0" fillId="5" fontId="1" numFmtId="0" xfId="0" applyAlignment="1" applyFont="1">
      <alignment horizontal="center" shrinkToFit="0" vertical="bottom" wrapText="1"/>
    </xf>
    <xf borderId="0" fillId="3" fontId="14" numFmtId="0" xfId="0" applyAlignment="1" applyFont="1">
      <alignment shrinkToFit="0" wrapText="1"/>
    </xf>
    <xf borderId="0" fillId="4" fontId="26" numFmtId="0" xfId="0" applyAlignment="1" applyFont="1">
      <alignment shrinkToFit="0" wrapText="1"/>
    </xf>
    <xf borderId="0" fillId="3" fontId="27" numFmtId="0" xfId="0" applyAlignment="1" applyFont="1">
      <alignment shrinkToFit="0" wrapText="1"/>
    </xf>
    <xf borderId="0" fillId="14" fontId="2" numFmtId="0" xfId="0" applyAlignment="1" applyFont="1">
      <alignment shrinkToFit="0" wrapText="1"/>
    </xf>
    <xf borderId="0" fillId="14" fontId="11" numFmtId="0" xfId="0" applyAlignment="1" applyFont="1">
      <alignment horizontal="center" shrinkToFit="0" wrapText="1"/>
    </xf>
    <xf borderId="0" fillId="14" fontId="12" numFmtId="0" xfId="0" applyAlignment="1" applyFont="1">
      <alignment shrinkToFit="0" wrapText="1"/>
    </xf>
    <xf borderId="0" fillId="14" fontId="13" numFmtId="0" xfId="0" applyAlignment="1" applyFont="1">
      <alignment shrinkToFit="0" wrapText="1"/>
    </xf>
    <xf borderId="0" fillId="14" fontId="14" numFmtId="0" xfId="0" applyAlignment="1" applyFont="1">
      <alignment shrinkToFit="0" wrapText="1"/>
    </xf>
    <xf borderId="0" fillId="14" fontId="15" numFmtId="0" xfId="0" applyAlignment="1" applyFont="1">
      <alignment shrinkToFit="0" wrapText="1"/>
    </xf>
    <xf borderId="0" fillId="14" fontId="16" numFmtId="0" xfId="0" applyAlignment="1" applyFont="1">
      <alignment horizontal="left" shrinkToFit="0" vertical="bottom" wrapText="1"/>
    </xf>
    <xf borderId="0" fillId="14" fontId="17" numFmtId="0" xfId="0" applyAlignment="1" applyFont="1">
      <alignment shrinkToFit="0" wrapText="1"/>
    </xf>
    <xf borderId="0" fillId="14" fontId="21" numFmtId="0" xfId="0" applyAlignment="1" applyFont="1">
      <alignment shrinkToFit="0" wrapText="1"/>
    </xf>
    <xf borderId="0" fillId="14" fontId="18" numFmtId="0" xfId="0" applyAlignment="1" applyFont="1">
      <alignment shrinkToFit="0" wrapText="1"/>
    </xf>
    <xf borderId="0" fillId="14" fontId="19" numFmtId="0" xfId="0" applyAlignment="1" applyFont="1">
      <alignment shrinkToFit="0" wrapText="1"/>
    </xf>
    <xf borderId="0" fillId="14" fontId="23" numFmtId="0" xfId="0" applyAlignment="1" applyFont="1">
      <alignment shrinkToFit="0" wrapText="1"/>
    </xf>
    <xf borderId="0" fillId="14" fontId="20" numFmtId="0" xfId="0" applyAlignment="1" applyFont="1">
      <alignment shrinkToFit="0" wrapText="1"/>
    </xf>
    <xf borderId="0" fillId="14" fontId="22" numFmtId="0" xfId="0" applyAlignment="1" applyFont="1">
      <alignment shrinkToFit="0" wrapText="1"/>
    </xf>
    <xf borderId="0" fillId="14" fontId="24" numFmtId="0" xfId="0" applyAlignment="1" applyFont="1">
      <alignment shrinkToFit="0" wrapText="1"/>
    </xf>
    <xf borderId="0" fillId="14" fontId="25" numFmtId="0" xfId="0" applyAlignment="1" applyFont="1">
      <alignment shrinkToFit="0" wrapText="1"/>
    </xf>
    <xf borderId="0" fillId="14" fontId="13" numFmtId="0" xfId="0" applyAlignment="1" applyFont="1">
      <alignment horizontal="center" shrinkToFit="0" vertical="bottom" wrapText="1"/>
    </xf>
    <xf borderId="0" fillId="14" fontId="1" numFmtId="0" xfId="0" applyAlignment="1" applyFont="1">
      <alignment horizontal="center" shrinkToFit="0" vertical="bottom" wrapText="1"/>
    </xf>
    <xf borderId="0" fillId="14" fontId="27" numFmtId="0" xfId="0" applyAlignment="1" applyFont="1">
      <alignment shrinkToFit="0" wrapText="1"/>
    </xf>
    <xf borderId="0" fillId="9" fontId="28" numFmtId="0" xfId="0" applyAlignment="1" applyFont="1">
      <alignment horizontal="center" shrinkToFit="0" wrapText="1"/>
    </xf>
    <xf borderId="0" fillId="9" fontId="29" numFmtId="0" xfId="0" applyAlignment="1" applyFont="1">
      <alignment shrinkToFit="0" wrapText="1"/>
    </xf>
    <xf borderId="0" fillId="9" fontId="1" numFmtId="0" xfId="0" applyAlignment="1" applyFont="1">
      <alignment shrinkToFit="0" wrapText="1"/>
    </xf>
    <xf borderId="0" fillId="0" fontId="4" numFmtId="167" xfId="0" applyAlignment="1" applyFont="1" applyNumberFormat="1">
      <alignment shrinkToFit="0" wrapText="1"/>
    </xf>
    <xf borderId="0" fillId="13" fontId="1" numFmtId="0" xfId="0" applyAlignment="1" applyFont="1">
      <alignment horizontal="center" shrinkToFit="0" vertical="bottom" wrapText="1"/>
    </xf>
    <xf borderId="0" fillId="13" fontId="1" numFmtId="0" xfId="0" applyAlignment="1" applyFont="1">
      <alignment shrinkToFit="0" wrapText="1"/>
    </xf>
    <xf borderId="0" fillId="13" fontId="2" numFmtId="0" xfId="0" applyAlignment="1" applyFont="1">
      <alignment shrinkToFit="0" wrapText="1"/>
    </xf>
    <xf borderId="0" fillId="9" fontId="1" numFmtId="0" xfId="0" applyAlignment="1" applyFont="1">
      <alignment horizontal="center" shrinkToFit="0" vertical="bottom" wrapText="1"/>
    </xf>
    <xf borderId="0" fillId="0" fontId="30" numFmtId="0" xfId="0" applyAlignment="1" applyFont="1">
      <alignment shrinkToFit="0" wrapText="1"/>
    </xf>
    <xf borderId="0" fillId="11" fontId="1" numFmtId="0" xfId="0" applyAlignment="1" applyFont="1">
      <alignment horizontal="center" shrinkToFit="0" vertical="bottom" wrapText="1"/>
    </xf>
    <xf borderId="0" fillId="11" fontId="1" numFmtId="0" xfId="0" applyAlignment="1" applyFont="1">
      <alignment shrinkToFit="0" wrapText="1"/>
    </xf>
    <xf borderId="0" fillId="11" fontId="2" numFmtId="0" xfId="0" applyAlignment="1" applyFont="1">
      <alignment shrinkToFit="0" wrapText="1"/>
    </xf>
    <xf borderId="0" fillId="11" fontId="31" numFmtId="0" xfId="0" applyAlignment="1" applyFont="1">
      <alignment shrinkToFit="0" wrapText="1"/>
    </xf>
    <xf borderId="0" fillId="11" fontId="32" numFmtId="0" xfId="0" applyAlignment="1" applyFont="1">
      <alignment shrinkToFit="0" wrapText="1"/>
    </xf>
    <xf borderId="0" fillId="0" fontId="3" numFmtId="0" xfId="0" applyAlignment="1" applyFont="1">
      <alignment shrinkToFit="0" vertical="top" wrapText="1"/>
    </xf>
    <xf borderId="0" fillId="9" fontId="2" numFmtId="0" xfId="0" applyAlignment="1" applyFont="1">
      <alignment shrinkToFit="0" wrapText="1"/>
    </xf>
    <xf borderId="0" fillId="10" fontId="31" numFmtId="0" xfId="0" applyAlignment="1" applyFont="1">
      <alignment shrinkToFit="0" wrapText="1"/>
    </xf>
    <xf borderId="0" fillId="10" fontId="32" numFmtId="0" xfId="0" applyAlignment="1" applyFont="1">
      <alignment shrinkToFit="0" wrapText="1"/>
    </xf>
    <xf borderId="0" fillId="10" fontId="1" numFmtId="0" xfId="0" applyAlignment="1" applyFont="1">
      <alignment shrinkToFit="0" wrapText="1"/>
    </xf>
    <xf borderId="0" fillId="30" fontId="31" numFmtId="0" xfId="0" applyAlignment="1" applyFill="1" applyFont="1">
      <alignment shrinkToFit="0" wrapText="1"/>
    </xf>
    <xf borderId="0" fillId="9" fontId="31" numFmtId="0" xfId="0" applyAlignment="1" applyFont="1">
      <alignment shrinkToFit="0" wrapText="1"/>
    </xf>
    <xf borderId="0" fillId="0" fontId="31" numFmtId="0" xfId="0" applyAlignment="1" applyFont="1">
      <alignment shrinkToFit="0" wrapText="1"/>
    </xf>
    <xf borderId="0" fillId="0" fontId="32" numFmtId="0" xfId="0" applyAlignment="1" applyFont="1">
      <alignment shrinkToFit="0" wrapText="1"/>
    </xf>
    <xf borderId="0" fillId="9" fontId="32" numFmtId="0" xfId="0" applyAlignment="1" applyFont="1">
      <alignment shrinkToFit="0" wrapText="1"/>
    </xf>
    <xf borderId="0" fillId="31" fontId="28" numFmtId="0" xfId="0" applyAlignment="1" applyFill="1" applyFont="1">
      <alignment horizontal="center" shrinkToFit="0" wrapText="1"/>
    </xf>
    <xf borderId="0" fillId="31" fontId="29" numFmtId="0" xfId="0" applyAlignment="1" applyFont="1">
      <alignment shrinkToFit="0" wrapText="1"/>
    </xf>
    <xf borderId="0" fillId="31" fontId="1" numFmtId="0" xfId="0" applyAlignment="1" applyFont="1">
      <alignment shrinkToFit="0" wrapText="1"/>
    </xf>
    <xf borderId="0" fillId="32" fontId="1" numFmtId="0" xfId="0" applyAlignment="1" applyFill="1" applyFont="1">
      <alignment horizontal="center" shrinkToFit="0" vertical="bottom" wrapText="1"/>
    </xf>
    <xf borderId="0" fillId="32" fontId="1" numFmtId="0" xfId="0" applyAlignment="1" applyFont="1">
      <alignment shrinkToFit="0" wrapText="1"/>
    </xf>
    <xf borderId="0" fillId="32" fontId="2" numFmtId="0" xfId="0" applyAlignment="1" applyFont="1">
      <alignment shrinkToFit="0" wrapText="1"/>
    </xf>
    <xf borderId="0" fillId="33" fontId="1" numFmtId="0" xfId="0" applyAlignment="1" applyFill="1" applyFont="1">
      <alignment horizontal="center" shrinkToFit="0" vertical="bottom" wrapText="1"/>
    </xf>
    <xf borderId="0" fillId="33" fontId="1" numFmtId="0" xfId="0" applyAlignment="1" applyFont="1">
      <alignment shrinkToFit="0" wrapText="1"/>
    </xf>
    <xf borderId="0" fillId="34" fontId="1" numFmtId="0" xfId="0" applyAlignment="1" applyFill="1" applyFont="1">
      <alignment horizontal="center" shrinkToFit="0" vertical="bottom" wrapText="1"/>
    </xf>
    <xf borderId="0" fillId="34" fontId="1" numFmtId="0" xfId="0" applyAlignment="1" applyFont="1">
      <alignment shrinkToFit="0" wrapText="1"/>
    </xf>
    <xf borderId="0" fillId="34" fontId="2" numFmtId="0" xfId="0" applyAlignment="1" applyFont="1">
      <alignment shrinkToFit="0" wrapText="1"/>
    </xf>
    <xf borderId="0" fillId="35" fontId="1" numFmtId="0" xfId="0" applyAlignment="1" applyFill="1" applyFont="1">
      <alignment shrinkToFit="0" wrapText="1"/>
    </xf>
    <xf borderId="0" fillId="35" fontId="2" numFmtId="0" xfId="0" applyAlignment="1" applyFont="1">
      <alignment shrinkToFit="0" wrapText="1"/>
    </xf>
    <xf borderId="0" fillId="36" fontId="31" numFmtId="0" xfId="0" applyAlignment="1" applyFill="1" applyFont="1">
      <alignment shrinkToFit="0" wrapText="1"/>
    </xf>
    <xf borderId="0" fillId="36" fontId="32" numFmtId="0" xfId="0" applyAlignment="1" applyFont="1">
      <alignment shrinkToFit="0" wrapText="1"/>
    </xf>
    <xf borderId="0" fillId="37" fontId="31" numFmtId="0" xfId="0" applyAlignment="1" applyFill="1" applyFont="1">
      <alignment shrinkToFit="0" wrapText="1"/>
    </xf>
    <xf borderId="0" fillId="37" fontId="32" numFmtId="0" xfId="0" applyAlignment="1" applyFont="1">
      <alignment shrinkToFit="0" wrapText="1"/>
    </xf>
    <xf borderId="0" fillId="14" fontId="31" numFmtId="0" xfId="0" applyAlignment="1" applyFont="1">
      <alignment shrinkToFit="0" wrapText="1"/>
    </xf>
    <xf borderId="0" fillId="14" fontId="32" numFmtId="0" xfId="0" applyAlignment="1" applyFont="1">
      <alignment shrinkToFit="0" wrapText="1"/>
    </xf>
    <xf borderId="0" fillId="38" fontId="28" numFmtId="0" xfId="0" applyAlignment="1" applyFill="1" applyFont="1">
      <alignment horizontal="center" shrinkToFit="0" wrapText="1"/>
    </xf>
    <xf borderId="0" fillId="38" fontId="29" numFmtId="0" xfId="0" applyAlignment="1" applyFont="1">
      <alignment shrinkToFit="0" wrapText="1"/>
    </xf>
    <xf borderId="0" fillId="38" fontId="1" numFmtId="0" xfId="0" applyAlignment="1" applyFont="1">
      <alignment shrinkToFit="0" wrapText="1"/>
    </xf>
    <xf borderId="0" fillId="4" fontId="1" numFmtId="0" xfId="0" applyAlignment="1" applyFont="1">
      <alignment horizontal="center" shrinkToFit="0" vertical="bottom" wrapText="1"/>
    </xf>
    <xf borderId="0" fillId="4" fontId="1" numFmtId="0" xfId="0" applyAlignment="1" applyFont="1">
      <alignment shrinkToFit="0" wrapText="1"/>
    </xf>
    <xf borderId="0" fillId="4" fontId="26" numFmtId="0" xfId="0" applyAlignment="1" applyFont="1">
      <alignment horizontal="center" shrinkToFit="0" wrapText="1"/>
    </xf>
    <xf borderId="0" fillId="4" fontId="2" numFmtId="0" xfId="0" applyAlignment="1" applyFont="1">
      <alignment shrinkToFit="0" wrapText="1"/>
    </xf>
    <xf borderId="0" fillId="38" fontId="1" numFmtId="0" xfId="0" applyAlignment="1" applyFont="1">
      <alignment horizontal="center" shrinkToFit="0" vertical="bottom" wrapText="1"/>
    </xf>
    <xf borderId="0" fillId="38" fontId="3" numFmtId="0" xfId="0" applyAlignment="1" applyFont="1">
      <alignment shrinkToFit="0" wrapText="1"/>
    </xf>
    <xf borderId="0" fillId="6" fontId="1" numFmtId="0" xfId="0" applyAlignment="1" applyFont="1">
      <alignment horizontal="center" shrinkToFit="0" vertical="bottom" wrapText="1"/>
    </xf>
    <xf borderId="0" fillId="6" fontId="1" numFmtId="0" xfId="0" applyAlignment="1" applyFont="1">
      <alignment shrinkToFit="0" wrapText="1"/>
    </xf>
    <xf borderId="0" fillId="6" fontId="3" numFmtId="0" xfId="0" applyAlignment="1" applyFont="1">
      <alignment shrinkToFit="0" wrapText="1"/>
    </xf>
    <xf borderId="0" fillId="6" fontId="2" numFmtId="0" xfId="0" applyAlignment="1" applyFont="1">
      <alignment shrinkToFit="0" wrapText="1"/>
    </xf>
    <xf borderId="0" fillId="6" fontId="31" numFmtId="0" xfId="0" applyAlignment="1" applyFont="1">
      <alignment shrinkToFit="0" wrapText="1"/>
    </xf>
    <xf borderId="0" fillId="38" fontId="2" numFmtId="0" xfId="0" applyAlignment="1" applyFont="1">
      <alignment shrinkToFit="0" wrapText="1"/>
    </xf>
    <xf borderId="0" fillId="19" fontId="31" numFmtId="0" xfId="0" applyAlignment="1" applyFont="1">
      <alignment shrinkToFit="0" wrapText="1"/>
    </xf>
    <xf borderId="0" fillId="19" fontId="32" numFmtId="0" xfId="0" applyAlignment="1" applyFont="1">
      <alignment shrinkToFit="0" wrapText="1"/>
    </xf>
    <xf borderId="0" fillId="19" fontId="1" numFmtId="0" xfId="0" applyAlignment="1" applyFont="1">
      <alignment shrinkToFit="0" wrapText="1"/>
    </xf>
    <xf borderId="0" fillId="21" fontId="31" numFmtId="0" xfId="0" applyAlignment="1" applyFont="1">
      <alignment shrinkToFit="0" wrapText="1"/>
    </xf>
    <xf borderId="0" fillId="39" fontId="31" numFmtId="0" xfId="0" applyAlignment="1" applyFill="1" applyFont="1">
      <alignment shrinkToFit="0" wrapText="1"/>
    </xf>
    <xf borderId="0" fillId="39" fontId="32" numFmtId="0" xfId="0" applyAlignment="1" applyFont="1">
      <alignment shrinkToFit="0" wrapText="1"/>
    </xf>
    <xf borderId="0" fillId="39" fontId="1" numFmtId="0" xfId="0" applyAlignment="1" applyFont="1">
      <alignment shrinkToFit="0" wrapText="1"/>
    </xf>
    <xf borderId="0" fillId="6" fontId="28" numFmtId="0" xfId="0" applyAlignment="1" applyFont="1">
      <alignment horizontal="center" shrinkToFit="0" wrapText="1"/>
    </xf>
    <xf borderId="0" fillId="6" fontId="29" numFmtId="0" xfId="0" applyAlignment="1" applyFont="1">
      <alignment shrinkToFit="0" wrapText="1"/>
    </xf>
    <xf borderId="0" fillId="6" fontId="26" numFmtId="0" xfId="0" applyAlignment="1" applyFont="1">
      <alignment horizontal="left" shrinkToFit="0" wrapText="1"/>
    </xf>
    <xf borderId="0" fillId="12" fontId="1" numFmtId="0" xfId="0" applyAlignment="1" applyFont="1">
      <alignment shrinkToFit="0" wrapText="1"/>
    </xf>
    <xf borderId="0" fillId="12" fontId="2" numFmtId="0" xfId="0" applyAlignment="1" applyFont="1">
      <alignment shrinkToFit="0" wrapText="1"/>
    </xf>
    <xf borderId="0" fillId="40" fontId="1" numFmtId="0" xfId="0" applyAlignment="1" applyFill="1" applyFont="1">
      <alignment horizontal="center" shrinkToFit="0" vertical="bottom" wrapText="1"/>
    </xf>
    <xf borderId="0" fillId="40" fontId="1" numFmtId="0" xfId="0" applyAlignment="1" applyFont="1">
      <alignment shrinkToFit="0" wrapText="1"/>
    </xf>
    <xf borderId="0" fillId="40" fontId="29" numFmtId="0" xfId="0" applyAlignment="1" applyFont="1">
      <alignment shrinkToFit="0" wrapText="1"/>
    </xf>
    <xf borderId="0" fillId="40" fontId="2" numFmtId="0" xfId="0" applyAlignment="1" applyFont="1">
      <alignment shrinkToFit="0" wrapText="1"/>
    </xf>
    <xf borderId="0" fillId="40" fontId="31" numFmtId="0" xfId="0" applyAlignment="1" applyFont="1">
      <alignment shrinkToFit="0" wrapText="1"/>
    </xf>
    <xf borderId="0" fillId="40" fontId="32" numFmtId="0" xfId="0" applyAlignment="1" applyFont="1">
      <alignment shrinkToFit="0" wrapText="1"/>
    </xf>
    <xf borderId="0" fillId="40" fontId="26" numFmtId="0" xfId="0" applyAlignment="1" applyFont="1">
      <alignment horizontal="left" shrinkToFit="0" wrapText="1"/>
    </xf>
    <xf borderId="0" fillId="41" fontId="1" numFmtId="0" xfId="0" applyAlignment="1" applyFill="1" applyFont="1">
      <alignment shrinkToFit="0" wrapText="1"/>
    </xf>
    <xf borderId="0" fillId="41" fontId="2" numFmtId="0" xfId="0" applyAlignment="1" applyFont="1">
      <alignment shrinkToFit="0" wrapText="1"/>
    </xf>
    <xf borderId="0" fillId="14" fontId="1" numFmtId="0" xfId="0" applyAlignment="1" applyFont="1">
      <alignment shrinkToFit="0" wrapText="1"/>
    </xf>
    <xf borderId="0" fillId="21" fontId="32" numFmtId="0" xfId="0" applyAlignment="1" applyFont="1">
      <alignment shrinkToFit="0" wrapText="1"/>
    </xf>
    <xf borderId="0" fillId="21" fontId="31" numFmtId="0" xfId="0" applyAlignment="1" applyFont="1">
      <alignment shrinkToFit="0" vertical="top" wrapText="1"/>
    </xf>
    <xf borderId="0" fillId="23" fontId="31" numFmtId="0" xfId="0" applyAlignment="1" applyFont="1">
      <alignment shrinkToFit="0" wrapText="1"/>
    </xf>
    <xf borderId="0" fillId="42" fontId="33" numFmtId="0" xfId="0" applyAlignment="1" applyFill="1" applyFont="1">
      <alignment shrinkToFit="0" wrapText="1"/>
    </xf>
    <xf borderId="0" fillId="42" fontId="34" numFmtId="0" xfId="0" applyAlignment="1" applyFont="1">
      <alignment shrinkToFit="0" wrapText="1"/>
    </xf>
    <xf borderId="0" fillId="11" fontId="28" numFmtId="0" xfId="0" applyAlignment="1" applyFont="1">
      <alignment horizontal="center" shrinkToFit="0" wrapText="1"/>
    </xf>
    <xf borderId="0" fillId="11" fontId="29" numFmtId="0" xfId="0" applyAlignment="1" applyFont="1">
      <alignment shrinkToFit="0" wrapText="1"/>
    </xf>
    <xf borderId="0" fillId="43" fontId="1" numFmtId="0" xfId="0" applyAlignment="1" applyFill="1" applyFont="1">
      <alignment shrinkToFit="0" wrapText="1"/>
    </xf>
    <xf borderId="0" fillId="43" fontId="2" numFmtId="0" xfId="0" applyAlignment="1" applyFont="1">
      <alignment shrinkToFit="0" wrapText="1"/>
    </xf>
    <xf borderId="0" fillId="10" fontId="1" numFmtId="0" xfId="0" applyAlignment="1" applyFont="1">
      <alignment horizontal="center" shrinkToFit="0" vertical="bottom" wrapText="1"/>
    </xf>
    <xf borderId="0" fillId="10" fontId="2" numFmtId="0" xfId="0" applyAlignment="1" applyFont="1">
      <alignment shrinkToFit="0" wrapText="1"/>
    </xf>
    <xf borderId="0" fillId="44" fontId="33" numFmtId="0" xfId="0" applyAlignment="1" applyFill="1" applyFont="1">
      <alignment shrinkToFit="0" wrapText="1"/>
    </xf>
    <xf borderId="0" fillId="44" fontId="34" numFmtId="0" xfId="0" applyAlignment="1" applyFont="1">
      <alignment shrinkToFit="0" wrapText="1"/>
    </xf>
    <xf borderId="0" fillId="7" fontId="28" numFmtId="0" xfId="0" applyAlignment="1" applyFont="1">
      <alignment horizontal="center" shrinkToFit="0" wrapText="1"/>
    </xf>
    <xf borderId="0" fillId="7" fontId="29" numFmtId="0" xfId="0" applyAlignment="1" applyFont="1">
      <alignment shrinkToFit="0" wrapText="1"/>
    </xf>
    <xf borderId="0" fillId="7" fontId="1" numFmtId="0" xfId="0" applyAlignment="1" applyFont="1">
      <alignment horizontal="center" shrinkToFit="0" vertical="bottom" wrapText="1"/>
    </xf>
    <xf borderId="0" fillId="7" fontId="1" numFmtId="0" xfId="0" applyAlignment="1" applyFont="1">
      <alignment shrinkToFit="0" wrapText="1"/>
    </xf>
    <xf borderId="0" fillId="7" fontId="2" numFmtId="0" xfId="0" applyAlignment="1" applyFont="1">
      <alignment shrinkToFit="0" wrapText="1"/>
    </xf>
    <xf borderId="0" fillId="45" fontId="1" numFmtId="0" xfId="0" applyAlignment="1" applyFill="1" applyFont="1">
      <alignment shrinkToFit="0" wrapText="1"/>
    </xf>
    <xf borderId="0" fillId="5" fontId="1" numFmtId="0" xfId="0" applyAlignment="1" applyFont="1">
      <alignment shrinkToFit="0" wrapText="1"/>
    </xf>
    <xf borderId="0" fillId="5" fontId="2" numFmtId="0" xfId="0" applyAlignment="1" applyFont="1">
      <alignment shrinkToFit="0" wrapText="1"/>
    </xf>
    <xf borderId="0" fillId="8" fontId="1" numFmtId="0" xfId="0" applyAlignment="1" applyFont="1">
      <alignment shrinkToFit="0" wrapText="1"/>
    </xf>
    <xf borderId="0" fillId="46" fontId="31" numFmtId="0" xfId="0" applyAlignment="1" applyFill="1" applyFont="1">
      <alignment shrinkToFit="0" wrapText="1"/>
    </xf>
    <xf borderId="0" fillId="46" fontId="32" numFmtId="0" xfId="0" applyAlignment="1" applyFont="1">
      <alignment shrinkToFit="0" wrapText="1"/>
    </xf>
    <xf borderId="0" fillId="46" fontId="1" numFmtId="0" xfId="0" applyAlignment="1" applyFont="1">
      <alignment shrinkToFit="0" wrapText="1"/>
    </xf>
    <xf borderId="0" fillId="42" fontId="31" numFmtId="0" xfId="0" applyAlignment="1" applyFont="1">
      <alignment shrinkToFit="0" wrapText="1"/>
    </xf>
    <xf borderId="0" fillId="42" fontId="32" numFmtId="0" xfId="0" applyAlignment="1" applyFont="1">
      <alignment shrinkToFit="0" wrapText="1"/>
    </xf>
    <xf borderId="0" fillId="42" fontId="31" numFmtId="0" xfId="0" applyAlignment="1" applyFont="1">
      <alignment shrinkToFit="0" vertical="top" wrapText="1"/>
    </xf>
    <xf borderId="0" fillId="47" fontId="31" numFmtId="0" xfId="0" applyAlignment="1" applyFill="1" applyFont="1">
      <alignment shrinkToFit="0" wrapText="1"/>
    </xf>
    <xf borderId="0" fillId="22" fontId="33" numFmtId="0" xfId="0" applyAlignment="1" applyFont="1">
      <alignment shrinkToFit="0" wrapText="1"/>
    </xf>
    <xf borderId="0" fillId="22" fontId="34" numFmtId="0" xfId="0" applyAlignment="1" applyFont="1">
      <alignment shrinkToFit="0" wrapText="1"/>
    </xf>
    <xf borderId="0" fillId="14" fontId="34" numFmtId="0" xfId="0" applyAlignment="1" applyFont="1">
      <alignment shrinkToFit="0" wrapText="1"/>
    </xf>
    <xf borderId="0" fillId="14" fontId="33" numFmtId="0" xfId="0" applyAlignment="1" applyFont="1">
      <alignment shrinkToFit="0" wrapText="1"/>
    </xf>
    <xf borderId="0" fillId="43" fontId="31" numFmtId="0" xfId="0" applyAlignment="1" applyFont="1">
      <alignment shrinkToFit="0" wrapText="1"/>
    </xf>
    <xf borderId="0" fillId="22" fontId="33" numFmtId="168" xfId="0" applyAlignment="1" applyFont="1" applyNumberFormat="1">
      <alignment shrinkToFit="0" wrapText="1"/>
    </xf>
    <xf borderId="0" fillId="22" fontId="33" numFmtId="169" xfId="0" applyAlignment="1" applyFont="1" applyNumberFormat="1">
      <alignment shrinkToFit="0" wrapText="1"/>
    </xf>
    <xf borderId="0" fillId="12" fontId="28" numFmtId="0" xfId="0" applyAlignment="1" applyFont="1">
      <alignment horizontal="center" shrinkToFit="0" wrapText="1"/>
    </xf>
    <xf borderId="0" fillId="12" fontId="29" numFmtId="0" xfId="0" applyAlignment="1" applyFont="1">
      <alignment shrinkToFit="0" wrapText="1"/>
    </xf>
    <xf borderId="0" fillId="12" fontId="31" numFmtId="0" xfId="0" applyAlignment="1" applyFont="1">
      <alignment shrinkToFit="0" wrapText="1"/>
    </xf>
    <xf borderId="0" fillId="12" fontId="1" numFmtId="0" xfId="0" applyAlignment="1" applyFont="1">
      <alignment horizontal="center" shrinkToFit="0" vertical="bottom" wrapText="1"/>
    </xf>
    <xf borderId="0" fillId="12" fontId="4" numFmtId="0" xfId="0" applyAlignment="1" applyFont="1">
      <alignment shrinkToFit="0" wrapText="1"/>
    </xf>
    <xf borderId="0" fillId="40" fontId="4" numFmtId="0" xfId="0" applyAlignment="1" applyFont="1">
      <alignment shrinkToFit="0" wrapText="1"/>
    </xf>
    <xf borderId="0" fillId="40" fontId="3" numFmtId="0" xfId="0" applyAlignment="1" applyFont="1">
      <alignment shrinkToFit="0" wrapText="1"/>
    </xf>
    <xf borderId="0" fillId="38" fontId="31" numFmtId="0" xfId="0" applyAlignment="1" applyFont="1">
      <alignment shrinkToFit="0" wrapText="1"/>
    </xf>
    <xf borderId="0" fillId="38" fontId="32" numFmtId="0" xfId="0" applyAlignment="1" applyFont="1">
      <alignment shrinkToFit="0" wrapText="1"/>
    </xf>
    <xf borderId="0" fillId="42" fontId="4" numFmtId="0" xfId="0" applyAlignment="1" applyFont="1">
      <alignment shrinkToFit="0" wrapText="1"/>
    </xf>
    <xf borderId="0" fillId="42" fontId="3" numFmtId="0" xfId="0" applyAlignment="1" applyFont="1">
      <alignment shrinkToFit="0" wrapText="1"/>
    </xf>
    <xf borderId="0" fillId="9" fontId="4" numFmtId="0" xfId="0" applyAlignment="1" applyFont="1">
      <alignment shrinkToFit="0" wrapText="1"/>
    </xf>
    <xf borderId="0" fillId="39" fontId="28" numFmtId="0" xfId="0" applyAlignment="1" applyFont="1">
      <alignment shrinkToFit="0" wrapText="1"/>
    </xf>
    <xf borderId="0" fillId="39" fontId="29" numFmtId="0" xfId="0" applyAlignment="1" applyFont="1">
      <alignment shrinkToFit="0" wrapText="1"/>
    </xf>
    <xf borderId="0" fillId="39" fontId="1" numFmtId="0" xfId="0" applyAlignment="1" applyFont="1">
      <alignment horizontal="center" shrinkToFit="0" vertical="bottom" wrapText="1"/>
    </xf>
    <xf borderId="0" fillId="39" fontId="4" numFmtId="0" xfId="0" applyAlignment="1" applyFont="1">
      <alignment shrinkToFit="0" wrapText="1"/>
    </xf>
    <xf borderId="0" fillId="39" fontId="2" numFmtId="0" xfId="0" applyAlignment="1" applyFont="1">
      <alignment shrinkToFit="0" wrapText="1"/>
    </xf>
    <xf borderId="0" fillId="36" fontId="1" numFmtId="0" xfId="0" applyAlignment="1" applyFont="1">
      <alignment shrinkToFit="0" wrapText="1"/>
    </xf>
    <xf borderId="0" fillId="36" fontId="2" numFmtId="0" xfId="0" applyAlignment="1" applyFont="1">
      <alignment shrinkToFit="0" wrapText="1"/>
    </xf>
    <xf borderId="0" fillId="36" fontId="4" numFmtId="0" xfId="0" applyAlignment="1" applyFont="1">
      <alignment shrinkToFit="0" wrapText="1"/>
    </xf>
    <xf borderId="0" fillId="48" fontId="31" numFmtId="0" xfId="0" applyAlignment="1" applyFill="1" applyFont="1">
      <alignment shrinkToFit="0" wrapText="1"/>
    </xf>
    <xf borderId="0" fillId="43" fontId="28" numFmtId="0" xfId="0" applyAlignment="1" applyFont="1">
      <alignment shrinkToFit="0" wrapText="1"/>
    </xf>
    <xf borderId="0" fillId="43" fontId="29" numFmtId="0" xfId="0" applyAlignment="1" applyFont="1">
      <alignment shrinkToFit="0" wrapText="1"/>
    </xf>
    <xf borderId="0" fillId="13" fontId="31" numFmtId="0" xfId="0" applyAlignment="1" applyFont="1">
      <alignment shrinkToFit="0" wrapText="1"/>
    </xf>
    <xf borderId="0" fillId="43" fontId="4" numFmtId="0" xfId="0" applyAlignment="1" applyFont="1">
      <alignment shrinkToFit="0" wrapText="1"/>
    </xf>
    <xf borderId="0" fillId="46" fontId="4" numFmtId="0" xfId="0" applyAlignment="1" applyFont="1">
      <alignment shrinkToFit="0" wrapText="1"/>
    </xf>
    <xf borderId="0" fillId="17" fontId="28" numFmtId="0" xfId="0" applyAlignment="1" applyFont="1">
      <alignment shrinkToFit="0" wrapText="1"/>
    </xf>
    <xf borderId="0" fillId="17" fontId="29" numFmtId="0" xfId="0" applyAlignment="1" applyFont="1">
      <alignment shrinkToFit="0" wrapText="1"/>
    </xf>
    <xf borderId="0" fillId="17" fontId="31" numFmtId="0" xfId="0" applyAlignment="1" applyFont="1">
      <alignment shrinkToFit="0" wrapText="1"/>
    </xf>
    <xf borderId="0" fillId="49" fontId="1" numFmtId="0" xfId="0" applyAlignment="1" applyFill="1" applyFont="1">
      <alignment shrinkToFit="0" wrapText="1"/>
    </xf>
    <xf borderId="0" fillId="49" fontId="31" numFmtId="0" xfId="0" applyAlignment="1" applyFont="1">
      <alignment shrinkToFit="0" wrapText="1"/>
    </xf>
    <xf borderId="0" fillId="49" fontId="2" numFmtId="0" xfId="0" applyAlignment="1" applyFont="1">
      <alignment shrinkToFit="0" wrapText="1"/>
    </xf>
    <xf borderId="0" fillId="46" fontId="2" numFmtId="0" xfId="0" applyAlignment="1" applyFont="1">
      <alignment shrinkToFit="0" wrapText="1"/>
    </xf>
    <xf borderId="0" fillId="14" fontId="29" numFmtId="0" xfId="0" applyAlignment="1" applyFont="1">
      <alignment shrinkToFit="0" wrapText="1"/>
    </xf>
    <xf borderId="0" fillId="14" fontId="35" numFmtId="0" xfId="0" applyAlignment="1" applyFont="1">
      <alignment shrinkToFit="0" wrapText="1"/>
    </xf>
    <xf borderId="0" fillId="42" fontId="29" numFmtId="0" xfId="0" applyAlignment="1" applyFont="1">
      <alignment shrinkToFit="0" wrapText="1"/>
    </xf>
    <xf borderId="0" fillId="20" fontId="31" numFmtId="0" xfId="0" applyAlignment="1" applyFont="1">
      <alignment shrinkToFit="0" wrapText="1"/>
    </xf>
    <xf borderId="0" fillId="50" fontId="28" numFmtId="0" xfId="0" applyAlignment="1" applyFill="1" applyFont="1">
      <alignment shrinkToFit="0" wrapText="1"/>
    </xf>
    <xf borderId="0" fillId="50" fontId="29" numFmtId="0" xfId="0" applyAlignment="1" applyFont="1">
      <alignment shrinkToFit="0" wrapText="1"/>
    </xf>
    <xf borderId="0" fillId="50" fontId="31" numFmtId="0" xfId="0" applyAlignment="1" applyFont="1">
      <alignment shrinkToFit="0" wrapText="1"/>
    </xf>
    <xf borderId="0" fillId="6" fontId="35" numFmtId="0" xfId="0" applyAlignment="1" applyFont="1">
      <alignment shrinkToFit="0" wrapText="1"/>
    </xf>
    <xf borderId="0" fillId="51" fontId="29" numFmtId="0" xfId="0" applyAlignment="1" applyFill="1" applyFont="1">
      <alignment shrinkToFit="0" wrapText="1"/>
    </xf>
    <xf borderId="0" fillId="51" fontId="31" numFmtId="0" xfId="0" applyAlignment="1" applyFont="1">
      <alignment shrinkToFit="0" wrapText="1"/>
    </xf>
    <xf borderId="0" fillId="52" fontId="29" numFmtId="170" xfId="0" applyAlignment="1" applyFill="1" applyFont="1" applyNumberFormat="1">
      <alignment shrinkToFit="0" wrapText="1"/>
    </xf>
    <xf borderId="0" fillId="52" fontId="29" numFmtId="0" xfId="0" applyAlignment="1" applyFont="1">
      <alignment shrinkToFit="0" wrapText="1"/>
    </xf>
    <xf borderId="0" fillId="14" fontId="29" numFmtId="170" xfId="0" applyAlignment="1" applyFont="1" applyNumberFormat="1">
      <alignment shrinkToFit="0" wrapText="1"/>
    </xf>
    <xf borderId="0" fillId="0" fontId="2" numFmtId="170" xfId="0" applyAlignment="1" applyFont="1" applyNumberFormat="1">
      <alignment shrinkToFit="0" wrapText="1"/>
    </xf>
    <xf borderId="0" fillId="52" fontId="1" numFmtId="170" xfId="0" applyAlignment="1" applyFont="1" applyNumberFormat="1">
      <alignment horizontal="center" shrinkToFit="0" vertical="bottom" wrapText="1"/>
    </xf>
    <xf borderId="0" fillId="52" fontId="1" numFmtId="170" xfId="0" applyAlignment="1" applyFont="1" applyNumberFormat="1">
      <alignment shrinkToFit="0" wrapText="1"/>
    </xf>
    <xf borderId="0" fillId="52" fontId="1" numFmtId="0" xfId="0" applyAlignment="1" applyFont="1">
      <alignment shrinkToFit="0" wrapText="1"/>
    </xf>
    <xf borderId="0" fillId="52" fontId="2" numFmtId="0" xfId="0" applyAlignment="1" applyFont="1">
      <alignment shrinkToFit="0" wrapText="1"/>
    </xf>
    <xf borderId="0" fillId="14" fontId="2" numFmtId="170" xfId="0" applyAlignment="1" applyFont="1" applyNumberFormat="1">
      <alignment shrinkToFit="0" wrapText="1"/>
    </xf>
    <xf borderId="0" fillId="46" fontId="1" numFmtId="170" xfId="0" applyAlignment="1" applyFont="1" applyNumberFormat="1">
      <alignment horizontal="center" shrinkToFit="0" vertical="bottom" wrapText="1"/>
    </xf>
    <xf borderId="0" fillId="46" fontId="1" numFmtId="170" xfId="0" applyAlignment="1" applyFont="1" applyNumberFormat="1">
      <alignment shrinkToFit="0" wrapText="1"/>
    </xf>
    <xf borderId="0" fillId="52" fontId="35" numFmtId="0" xfId="0" applyAlignment="1" applyFont="1">
      <alignment shrinkToFit="0" wrapText="1"/>
    </xf>
    <xf borderId="0" fillId="42" fontId="29" numFmtId="170" xfId="0" applyAlignment="1" applyFont="1" applyNumberFormat="1">
      <alignment shrinkToFit="0" wrapText="1"/>
    </xf>
    <xf borderId="0" fillId="42" fontId="35" numFmtId="0" xfId="0" applyAlignment="1" applyFont="1">
      <alignment shrinkToFit="0" wrapText="1"/>
    </xf>
    <xf borderId="0" fillId="14" fontId="1" numFmtId="170" xfId="0" applyAlignment="1" applyFont="1" applyNumberFormat="1">
      <alignment shrinkToFit="0" wrapText="1"/>
    </xf>
    <xf borderId="0" fillId="0" fontId="31" numFmtId="171" xfId="0" applyAlignment="1" applyFont="1" applyNumberFormat="1">
      <alignment shrinkToFit="0" wrapText="1"/>
    </xf>
    <xf borderId="0" fillId="53" fontId="28" numFmtId="0" xfId="0" applyAlignment="1" applyFill="1" applyFont="1">
      <alignment shrinkToFit="0" wrapText="1"/>
    </xf>
    <xf borderId="0" fillId="14" fontId="28" numFmtId="0" xfId="0" applyAlignment="1" applyFont="1">
      <alignment shrinkToFit="0" wrapText="1"/>
    </xf>
    <xf borderId="0" fillId="54" fontId="31" numFmtId="0" xfId="0" applyAlignment="1" applyFill="1" applyFont="1">
      <alignment shrinkToFit="0" wrapText="1"/>
    </xf>
    <xf borderId="0" fillId="54" fontId="4" numFmtId="0" xfId="0" applyAlignment="1" applyFont="1">
      <alignment shrinkToFit="0" wrapText="1"/>
    </xf>
    <xf borderId="0" fillId="55" fontId="31" numFmtId="0" xfId="0" applyAlignment="1" applyFill="1" applyFont="1">
      <alignment shrinkToFit="0" wrapText="1"/>
    </xf>
    <xf borderId="0" fillId="55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0"/>
    <col customWidth="1" min="2" max="5" width="4.75"/>
    <col customWidth="1" min="6" max="6" width="4.13"/>
    <col customWidth="1" min="7" max="12" width="4.75"/>
    <col customWidth="1" min="13" max="13" width="4.0"/>
    <col customWidth="1" min="14" max="14" width="18.63"/>
    <col customWidth="1" min="15" max="15" width="6.38"/>
    <col customWidth="1" min="16" max="18" width="4.75"/>
    <col customWidth="1" min="19" max="19" width="4.13"/>
    <col customWidth="1" min="20" max="22" width="4.75"/>
    <col customWidth="1" min="23" max="23" width="4.25"/>
    <col customWidth="1" min="24" max="24" width="4.75"/>
    <col customWidth="1" min="25" max="26" width="4.38"/>
  </cols>
  <sheetData>
    <row r="1">
      <c r="A1" s="1">
        <v>2026.0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3">
        <v>2026.0</v>
      </c>
      <c r="O1" s="4" t="s">
        <v>0</v>
      </c>
      <c r="P1" s="4" t="s">
        <v>1</v>
      </c>
      <c r="Q1" s="4" t="s">
        <v>2</v>
      </c>
      <c r="R1" s="4" t="s">
        <v>3</v>
      </c>
      <c r="S1" s="4" t="s">
        <v>4</v>
      </c>
      <c r="T1" s="4" t="s">
        <v>5</v>
      </c>
      <c r="U1" s="4" t="s">
        <v>6</v>
      </c>
      <c r="V1" s="4" t="s">
        <v>7</v>
      </c>
      <c r="W1" s="4" t="s">
        <v>8</v>
      </c>
      <c r="X1" s="4" t="s">
        <v>9</v>
      </c>
      <c r="Y1" s="4" t="s">
        <v>10</v>
      </c>
      <c r="Z1" s="4" t="s">
        <v>11</v>
      </c>
    </row>
    <row r="2">
      <c r="A2" s="5" t="s">
        <v>12</v>
      </c>
      <c r="B2" s="5">
        <v>9361.0</v>
      </c>
      <c r="C2" s="5">
        <v>8860.0</v>
      </c>
      <c r="D2" s="5">
        <v>4833.0</v>
      </c>
      <c r="E2" s="6"/>
      <c r="F2" s="6"/>
      <c r="G2" s="6"/>
      <c r="H2" s="6"/>
      <c r="I2" s="6"/>
      <c r="J2" s="6"/>
      <c r="K2" s="6"/>
      <c r="L2" s="6"/>
      <c r="M2" s="6"/>
      <c r="N2" s="7" t="s">
        <v>13</v>
      </c>
      <c r="O2" s="7">
        <v>3158.0</v>
      </c>
      <c r="P2" s="7">
        <v>4882.0</v>
      </c>
      <c r="Q2" s="8">
        <v>2576.0</v>
      </c>
      <c r="R2" s="8"/>
      <c r="S2" s="8"/>
      <c r="T2" s="8"/>
      <c r="U2" s="8"/>
      <c r="V2" s="8"/>
      <c r="W2" s="8"/>
      <c r="X2" s="8"/>
      <c r="Y2" s="8"/>
      <c r="Z2" s="8"/>
    </row>
    <row r="3">
      <c r="A3" s="9" t="s">
        <v>14</v>
      </c>
      <c r="B3" s="10">
        <v>1825.0</v>
      </c>
      <c r="C3" s="10">
        <v>4625.0</v>
      </c>
      <c r="D3" s="10">
        <v>1625.0</v>
      </c>
      <c r="E3" s="11"/>
      <c r="F3" s="11"/>
      <c r="G3" s="11"/>
      <c r="H3" s="11"/>
      <c r="I3" s="11"/>
      <c r="J3" s="11"/>
      <c r="K3" s="11"/>
      <c r="L3" s="11"/>
      <c r="M3" s="11"/>
      <c r="N3" s="12" t="s">
        <v>15</v>
      </c>
      <c r="O3" s="13">
        <v>467.0</v>
      </c>
      <c r="P3" s="13">
        <v>467.0</v>
      </c>
      <c r="Q3" s="12">
        <v>467.0</v>
      </c>
      <c r="R3" s="14"/>
      <c r="S3" s="14"/>
      <c r="T3" s="14"/>
      <c r="U3" s="14"/>
      <c r="V3" s="14"/>
      <c r="W3" s="14"/>
      <c r="X3" s="14"/>
      <c r="Y3" s="14"/>
      <c r="Z3" s="14"/>
    </row>
    <row r="4">
      <c r="A4" s="9" t="s">
        <v>16</v>
      </c>
      <c r="B4" s="10">
        <v>239.0</v>
      </c>
      <c r="C4" s="10">
        <v>253.0</v>
      </c>
      <c r="D4" s="10">
        <v>253.0</v>
      </c>
      <c r="E4" s="9"/>
      <c r="F4" s="9"/>
      <c r="G4" s="9"/>
      <c r="H4" s="9"/>
      <c r="I4" s="9"/>
      <c r="J4" s="9"/>
      <c r="K4" s="9"/>
      <c r="L4" s="9"/>
      <c r="M4" s="9"/>
      <c r="N4" s="12" t="s">
        <v>17</v>
      </c>
      <c r="O4" s="13">
        <v>500.0</v>
      </c>
      <c r="P4" s="13">
        <v>500.0</v>
      </c>
      <c r="Q4" s="12">
        <v>250.0</v>
      </c>
      <c r="R4" s="12"/>
      <c r="S4" s="12"/>
      <c r="T4" s="12"/>
      <c r="U4" s="12"/>
      <c r="V4" s="12"/>
      <c r="W4" s="12"/>
      <c r="X4" s="12"/>
      <c r="Y4" s="12"/>
      <c r="Z4" s="12"/>
    </row>
    <row r="5">
      <c r="A5" s="9" t="s">
        <v>18</v>
      </c>
      <c r="B5" s="10">
        <v>469.0</v>
      </c>
      <c r="C5" s="10">
        <v>469.0</v>
      </c>
      <c r="D5" s="10">
        <v>469.0</v>
      </c>
      <c r="E5" s="11"/>
      <c r="F5" s="11"/>
      <c r="G5" s="11"/>
      <c r="H5" s="11"/>
      <c r="I5" s="11"/>
      <c r="J5" s="11"/>
      <c r="K5" s="11"/>
      <c r="L5" s="11"/>
      <c r="M5" s="11"/>
      <c r="N5" s="12" t="s">
        <v>19</v>
      </c>
      <c r="O5" s="13">
        <v>500.0</v>
      </c>
      <c r="P5" s="13">
        <v>500.0</v>
      </c>
      <c r="Q5" s="12">
        <v>250.0</v>
      </c>
      <c r="R5" s="14"/>
      <c r="S5" s="14"/>
      <c r="T5" s="14"/>
      <c r="U5" s="14"/>
      <c r="V5" s="14"/>
      <c r="W5" s="14"/>
      <c r="X5" s="14"/>
      <c r="Y5" s="14"/>
      <c r="Z5" s="14"/>
    </row>
    <row r="6">
      <c r="A6" s="9" t="s">
        <v>20</v>
      </c>
      <c r="B6" s="10">
        <v>219.0</v>
      </c>
      <c r="C6" s="10">
        <v>186.0</v>
      </c>
      <c r="D6" s="10">
        <v>204.0</v>
      </c>
      <c r="E6" s="11"/>
      <c r="F6" s="11"/>
      <c r="G6" s="11"/>
      <c r="H6" s="11"/>
      <c r="I6" s="11"/>
      <c r="J6" s="11"/>
      <c r="K6" s="11"/>
      <c r="L6" s="11"/>
      <c r="M6" s="11"/>
      <c r="N6" s="12" t="s">
        <v>21</v>
      </c>
      <c r="O6" s="13">
        <v>704.0</v>
      </c>
      <c r="P6" s="13">
        <v>506.0</v>
      </c>
      <c r="Q6" s="12">
        <v>500.0</v>
      </c>
      <c r="R6" s="14"/>
      <c r="S6" s="14"/>
      <c r="T6" s="14"/>
      <c r="U6" s="14"/>
      <c r="V6" s="14"/>
      <c r="W6" s="14"/>
      <c r="X6" s="14"/>
      <c r="Y6" s="14"/>
      <c r="Z6" s="14"/>
    </row>
    <row r="7">
      <c r="A7" s="9" t="s">
        <v>22</v>
      </c>
      <c r="B7" s="10">
        <v>173.0</v>
      </c>
      <c r="C7" s="10">
        <v>242.0</v>
      </c>
      <c r="D7" s="9">
        <v>0.0</v>
      </c>
      <c r="E7" s="9">
        <v>217.0</v>
      </c>
      <c r="F7" s="11"/>
      <c r="G7" s="11"/>
      <c r="H7" s="11"/>
      <c r="I7" s="11"/>
      <c r="J7" s="11"/>
      <c r="K7" s="11"/>
      <c r="L7" s="11"/>
      <c r="M7" s="11"/>
      <c r="N7" s="12" t="s">
        <v>23</v>
      </c>
      <c r="O7" s="13">
        <v>0.0</v>
      </c>
      <c r="P7" s="13">
        <v>0.0</v>
      </c>
      <c r="Q7" s="12">
        <v>0.0</v>
      </c>
      <c r="R7" s="14"/>
      <c r="S7" s="14"/>
      <c r="T7" s="14"/>
      <c r="U7" s="14"/>
      <c r="V7" s="14"/>
      <c r="W7" s="14"/>
      <c r="X7" s="14"/>
      <c r="Y7" s="14"/>
      <c r="Z7" s="14"/>
    </row>
    <row r="8">
      <c r="A8" s="9" t="s">
        <v>24</v>
      </c>
      <c r="B8" s="10">
        <v>173.0</v>
      </c>
      <c r="C8" s="10">
        <v>233.0</v>
      </c>
      <c r="D8" s="10">
        <v>182.0</v>
      </c>
      <c r="E8" s="11"/>
      <c r="F8" s="11"/>
      <c r="G8" s="11"/>
      <c r="H8" s="11"/>
      <c r="I8" s="11"/>
      <c r="J8" s="11"/>
      <c r="K8" s="11"/>
      <c r="L8" s="11"/>
      <c r="M8" s="11"/>
      <c r="N8" s="12" t="s">
        <v>25</v>
      </c>
      <c r="O8" s="13">
        <v>60.0</v>
      </c>
      <c r="P8" s="13">
        <v>60.0</v>
      </c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9" t="s">
        <v>26</v>
      </c>
      <c r="B9" s="10">
        <v>375.0</v>
      </c>
      <c r="C9" s="10">
        <v>175.0</v>
      </c>
      <c r="D9" s="10">
        <v>125.0</v>
      </c>
      <c r="E9" s="11"/>
      <c r="F9" s="11"/>
      <c r="G9" s="11"/>
      <c r="H9" s="11"/>
      <c r="I9" s="11"/>
      <c r="J9" s="11"/>
      <c r="K9" s="11"/>
      <c r="L9" s="11"/>
      <c r="M9" s="11"/>
      <c r="N9" s="12" t="s">
        <v>27</v>
      </c>
      <c r="O9" s="13">
        <v>300.0</v>
      </c>
      <c r="P9" s="13">
        <v>300.0</v>
      </c>
      <c r="Q9" s="12">
        <v>300.0</v>
      </c>
      <c r="R9" s="14"/>
      <c r="S9" s="14"/>
      <c r="T9" s="14"/>
      <c r="U9" s="14"/>
      <c r="V9" s="14"/>
      <c r="W9" s="14"/>
      <c r="X9" s="14"/>
      <c r="Y9" s="14"/>
      <c r="Z9" s="14"/>
    </row>
    <row r="10">
      <c r="A10" s="9" t="s">
        <v>28</v>
      </c>
      <c r="B10" s="10">
        <v>500.0</v>
      </c>
      <c r="C10" s="10">
        <v>500.0</v>
      </c>
      <c r="D10" s="9">
        <v>0.0</v>
      </c>
      <c r="E10" s="11"/>
      <c r="F10" s="11"/>
      <c r="G10" s="11"/>
      <c r="H10" s="11"/>
      <c r="I10" s="11"/>
      <c r="J10" s="11"/>
      <c r="K10" s="11"/>
      <c r="L10" s="11"/>
      <c r="M10" s="11"/>
      <c r="N10" s="12" t="s">
        <v>29</v>
      </c>
      <c r="O10" s="13">
        <v>300.0</v>
      </c>
      <c r="P10" s="13">
        <v>420.0</v>
      </c>
      <c r="Q10" s="12">
        <v>0.0</v>
      </c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9" t="s">
        <v>30</v>
      </c>
      <c r="B11" s="10">
        <v>29.0</v>
      </c>
      <c r="C11" s="10">
        <v>29.0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2" t="s">
        <v>31</v>
      </c>
      <c r="O11" s="13">
        <v>50.0</v>
      </c>
      <c r="P11" s="13">
        <v>2000.0</v>
      </c>
      <c r="Q11" s="12">
        <v>500.0</v>
      </c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9" t="s">
        <v>32</v>
      </c>
      <c r="B12" s="10">
        <v>119.0</v>
      </c>
      <c r="C12" s="10">
        <v>193.0</v>
      </c>
      <c r="D12" s="10">
        <v>419.0</v>
      </c>
      <c r="E12" s="11"/>
      <c r="F12" s="11"/>
      <c r="G12" s="11"/>
      <c r="H12" s="11"/>
      <c r="I12" s="11"/>
      <c r="J12" s="11"/>
      <c r="K12" s="11"/>
      <c r="L12" s="11"/>
      <c r="M12" s="11"/>
      <c r="N12" s="13" t="s">
        <v>33</v>
      </c>
      <c r="O12" s="15">
        <f t="shared" ref="O12:Z12" si="1">Sum(O3:O11)</f>
        <v>2881</v>
      </c>
      <c r="P12" s="15">
        <f t="shared" si="1"/>
        <v>4753</v>
      </c>
      <c r="Q12" s="14">
        <f t="shared" si="1"/>
        <v>2267</v>
      </c>
      <c r="R12" s="14">
        <f t="shared" si="1"/>
        <v>0</v>
      </c>
      <c r="S12" s="14">
        <f t="shared" si="1"/>
        <v>0</v>
      </c>
      <c r="T12" s="14">
        <f t="shared" si="1"/>
        <v>0</v>
      </c>
      <c r="U12" s="14">
        <f t="shared" si="1"/>
        <v>0</v>
      </c>
      <c r="V12" s="14">
        <f t="shared" si="1"/>
        <v>0</v>
      </c>
      <c r="W12" s="14">
        <f t="shared" si="1"/>
        <v>0</v>
      </c>
      <c r="X12" s="14">
        <f t="shared" si="1"/>
        <v>0</v>
      </c>
      <c r="Y12" s="14">
        <f t="shared" si="1"/>
        <v>0</v>
      </c>
      <c r="Z12" s="14">
        <f t="shared" si="1"/>
        <v>0</v>
      </c>
    </row>
    <row r="13">
      <c r="A13" s="9" t="s">
        <v>34</v>
      </c>
      <c r="B13" s="10">
        <v>202.0</v>
      </c>
      <c r="C13" s="10">
        <v>229.0</v>
      </c>
      <c r="D13" s="9">
        <v>0.0</v>
      </c>
      <c r="E13" s="11"/>
      <c r="F13" s="11"/>
      <c r="G13" s="11"/>
      <c r="H13" s="11"/>
      <c r="I13" s="11"/>
      <c r="J13" s="11"/>
      <c r="K13" s="11"/>
      <c r="L13" s="11"/>
      <c r="M13" s="11"/>
      <c r="N13" s="16" t="s">
        <v>35</v>
      </c>
      <c r="O13" s="17">
        <f t="shared" ref="O13:Z13" si="2">O2-O12</f>
        <v>277</v>
      </c>
      <c r="P13" s="17">
        <f t="shared" si="2"/>
        <v>129</v>
      </c>
      <c r="Q13" s="18">
        <f t="shared" si="2"/>
        <v>309</v>
      </c>
      <c r="R13" s="18">
        <f t="shared" si="2"/>
        <v>0</v>
      </c>
      <c r="S13" s="18">
        <f t="shared" si="2"/>
        <v>0</v>
      </c>
      <c r="T13" s="18">
        <f t="shared" si="2"/>
        <v>0</v>
      </c>
      <c r="U13" s="18">
        <f t="shared" si="2"/>
        <v>0</v>
      </c>
      <c r="V13" s="18">
        <f t="shared" si="2"/>
        <v>0</v>
      </c>
      <c r="W13" s="18">
        <f t="shared" si="2"/>
        <v>0</v>
      </c>
      <c r="X13" s="18">
        <f t="shared" si="2"/>
        <v>0</v>
      </c>
      <c r="Y13" s="18">
        <f t="shared" si="2"/>
        <v>0</v>
      </c>
      <c r="Z13" s="18">
        <f t="shared" si="2"/>
        <v>0</v>
      </c>
    </row>
    <row r="14">
      <c r="A14" s="9" t="s">
        <v>36</v>
      </c>
      <c r="B14" s="10">
        <v>30.0</v>
      </c>
      <c r="C14" s="10">
        <v>113.0</v>
      </c>
      <c r="D14" s="9">
        <v>0.0</v>
      </c>
      <c r="E14" s="11"/>
      <c r="F14" s="11"/>
      <c r="G14" s="11"/>
      <c r="H14" s="11"/>
      <c r="I14" s="11"/>
      <c r="J14" s="11"/>
      <c r="K14" s="11"/>
      <c r="L14" s="11"/>
      <c r="M14" s="11"/>
      <c r="N14" s="19" t="s">
        <v>37</v>
      </c>
      <c r="O14" s="20" t="s">
        <v>0</v>
      </c>
      <c r="P14" s="20" t="s">
        <v>1</v>
      </c>
      <c r="Q14" s="20" t="s">
        <v>2</v>
      </c>
      <c r="R14" s="20" t="s">
        <v>3</v>
      </c>
      <c r="S14" s="20" t="s">
        <v>4</v>
      </c>
      <c r="T14" s="20" t="s">
        <v>5</v>
      </c>
      <c r="U14" s="20" t="s">
        <v>6</v>
      </c>
      <c r="V14" s="20" t="s">
        <v>7</v>
      </c>
      <c r="W14" s="20" t="s">
        <v>8</v>
      </c>
      <c r="X14" s="20" t="s">
        <v>9</v>
      </c>
      <c r="Y14" s="20" t="s">
        <v>10</v>
      </c>
      <c r="Z14" s="20" t="s">
        <v>11</v>
      </c>
    </row>
    <row r="15">
      <c r="A15" s="9" t="s">
        <v>38</v>
      </c>
      <c r="B15" s="10">
        <v>0.0</v>
      </c>
      <c r="C15" s="9">
        <v>0.0</v>
      </c>
      <c r="D15" s="9">
        <v>0.0</v>
      </c>
      <c r="E15" s="11"/>
      <c r="F15" s="11"/>
      <c r="G15" s="11"/>
      <c r="H15" s="11"/>
      <c r="I15" s="11"/>
      <c r="J15" s="11"/>
      <c r="K15" s="11"/>
      <c r="L15" s="11"/>
      <c r="M15" s="11"/>
      <c r="N15" s="21" t="s">
        <v>39</v>
      </c>
      <c r="O15" s="21">
        <v>7954.0</v>
      </c>
      <c r="P15" s="21">
        <v>3025.0</v>
      </c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9" t="s">
        <v>40</v>
      </c>
      <c r="B16" s="10">
        <v>2750.0</v>
      </c>
      <c r="C16" s="10">
        <v>750.0</v>
      </c>
      <c r="D16" s="10">
        <v>1000.0</v>
      </c>
      <c r="E16" s="11"/>
      <c r="F16" s="11"/>
      <c r="G16" s="11"/>
      <c r="H16" s="11"/>
      <c r="I16" s="9" t="s">
        <v>41</v>
      </c>
      <c r="J16" s="11"/>
      <c r="K16" s="11"/>
      <c r="L16" s="11"/>
      <c r="M16" s="11"/>
      <c r="N16" s="23" t="s">
        <v>42</v>
      </c>
      <c r="O16" s="24">
        <v>1600.0</v>
      </c>
      <c r="P16" s="24">
        <v>1600.0</v>
      </c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>
      <c r="A17" s="9" t="s">
        <v>43</v>
      </c>
      <c r="B17" s="10">
        <v>0.0</v>
      </c>
      <c r="C17" s="9">
        <v>0.0</v>
      </c>
      <c r="D17" s="9">
        <v>0.0</v>
      </c>
      <c r="E17" s="11"/>
      <c r="F17" s="11"/>
      <c r="G17" s="11"/>
      <c r="H17" s="11"/>
      <c r="I17" s="11"/>
      <c r="J17" s="11"/>
      <c r="K17" s="11"/>
      <c r="L17" s="11"/>
      <c r="M17" s="11"/>
      <c r="N17" s="23" t="s">
        <v>44</v>
      </c>
      <c r="O17" s="24">
        <v>56.0</v>
      </c>
      <c r="P17" s="24">
        <v>66.0</v>
      </c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>
      <c r="A18" s="9" t="s">
        <v>45</v>
      </c>
      <c r="B18" s="10">
        <v>0.0</v>
      </c>
      <c r="C18" s="10">
        <v>35.0</v>
      </c>
      <c r="D18" s="9">
        <v>0.0</v>
      </c>
      <c r="E18" s="11"/>
      <c r="F18" s="11"/>
      <c r="G18" s="11"/>
      <c r="H18" s="11"/>
      <c r="I18" s="11"/>
      <c r="J18" s="11"/>
      <c r="K18" s="11"/>
      <c r="L18" s="11"/>
      <c r="M18" s="11"/>
      <c r="N18" s="23" t="s">
        <v>46</v>
      </c>
      <c r="O18" s="24">
        <v>5802.0</v>
      </c>
      <c r="P18" s="24">
        <v>0.0</v>
      </c>
      <c r="Q18" s="25"/>
      <c r="R18" s="25"/>
      <c r="S18" s="25"/>
      <c r="T18" s="25"/>
      <c r="U18" s="23">
        <v>5622.0</v>
      </c>
      <c r="V18" s="25"/>
      <c r="W18" s="25"/>
      <c r="X18" s="25"/>
      <c r="Y18" s="25"/>
      <c r="Z18" s="25"/>
    </row>
    <row r="19">
      <c r="A19" s="9" t="s">
        <v>47</v>
      </c>
      <c r="B19" s="10">
        <v>57.0</v>
      </c>
      <c r="C19" s="10">
        <v>87.0</v>
      </c>
      <c r="D19" s="9">
        <v>0.0</v>
      </c>
      <c r="E19" s="11"/>
      <c r="F19" s="11"/>
      <c r="G19" s="11"/>
      <c r="H19" s="11"/>
      <c r="I19" s="11"/>
      <c r="J19" s="11"/>
      <c r="K19" s="11"/>
      <c r="L19" s="11"/>
      <c r="M19" s="11"/>
      <c r="N19" s="23" t="s">
        <v>48</v>
      </c>
      <c r="O19" s="24">
        <v>0.0</v>
      </c>
      <c r="P19" s="24">
        <v>0.0</v>
      </c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>
      <c r="A20" s="9" t="s">
        <v>49</v>
      </c>
      <c r="B20" s="10">
        <v>1956.0</v>
      </c>
      <c r="C20" s="10">
        <v>355.0</v>
      </c>
      <c r="D20" s="9">
        <v>0.0</v>
      </c>
      <c r="E20" s="11"/>
      <c r="F20" s="11"/>
      <c r="G20" s="11"/>
      <c r="H20" s="11"/>
      <c r="I20" s="11"/>
      <c r="J20" s="11"/>
      <c r="K20" s="11"/>
      <c r="L20" s="11"/>
      <c r="M20" s="11"/>
      <c r="N20" s="23" t="s">
        <v>50</v>
      </c>
      <c r="O20" s="24">
        <v>309.0</v>
      </c>
      <c r="P20" s="24">
        <v>988.0</v>
      </c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>
      <c r="A21" s="10" t="s">
        <v>33</v>
      </c>
      <c r="B21" s="26">
        <f t="shared" ref="B21:M21" si="3">Sum(B3:B20)</f>
        <v>9116</v>
      </c>
      <c r="C21" s="26">
        <f t="shared" si="3"/>
        <v>8474</v>
      </c>
      <c r="D21" s="26">
        <f t="shared" si="3"/>
        <v>4277</v>
      </c>
      <c r="E21" s="11">
        <f t="shared" si="3"/>
        <v>217</v>
      </c>
      <c r="F21" s="11">
        <f t="shared" si="3"/>
        <v>0</v>
      </c>
      <c r="G21" s="11">
        <f t="shared" si="3"/>
        <v>0</v>
      </c>
      <c r="H21" s="11">
        <f t="shared" si="3"/>
        <v>0</v>
      </c>
      <c r="I21" s="11">
        <f t="shared" si="3"/>
        <v>0</v>
      </c>
      <c r="J21" s="11">
        <f t="shared" si="3"/>
        <v>0</v>
      </c>
      <c r="K21" s="11">
        <f t="shared" si="3"/>
        <v>0</v>
      </c>
      <c r="L21" s="11">
        <f t="shared" si="3"/>
        <v>0</v>
      </c>
      <c r="M21" s="11">
        <f t="shared" si="3"/>
        <v>0</v>
      </c>
      <c r="N21" s="24" t="s">
        <v>33</v>
      </c>
      <c r="O21" s="27">
        <f t="shared" ref="O21:Z21" si="4">Sum(O16:O20)</f>
        <v>7767</v>
      </c>
      <c r="P21" s="27">
        <f t="shared" si="4"/>
        <v>2654</v>
      </c>
      <c r="Q21" s="25">
        <f t="shared" si="4"/>
        <v>0</v>
      </c>
      <c r="R21" s="25">
        <f t="shared" si="4"/>
        <v>0</v>
      </c>
      <c r="S21" s="25">
        <f t="shared" si="4"/>
        <v>0</v>
      </c>
      <c r="T21" s="25">
        <f t="shared" si="4"/>
        <v>0</v>
      </c>
      <c r="U21" s="25">
        <f t="shared" si="4"/>
        <v>5622</v>
      </c>
      <c r="V21" s="25">
        <f t="shared" si="4"/>
        <v>0</v>
      </c>
      <c r="W21" s="25">
        <f t="shared" si="4"/>
        <v>0</v>
      </c>
      <c r="X21" s="25">
        <f t="shared" si="4"/>
        <v>0</v>
      </c>
      <c r="Y21" s="25">
        <f t="shared" si="4"/>
        <v>0</v>
      </c>
      <c r="Z21" s="25">
        <f t="shared" si="4"/>
        <v>0</v>
      </c>
    </row>
    <row r="22">
      <c r="A22" s="28" t="s">
        <v>35</v>
      </c>
      <c r="B22" s="29">
        <f t="shared" ref="B22:M22" si="5">B2-B21</f>
        <v>245</v>
      </c>
      <c r="C22" s="29">
        <f t="shared" si="5"/>
        <v>386</v>
      </c>
      <c r="D22" s="29">
        <f t="shared" si="5"/>
        <v>556</v>
      </c>
      <c r="E22" s="30">
        <f t="shared" si="5"/>
        <v>-217</v>
      </c>
      <c r="F22" s="30">
        <f t="shared" si="5"/>
        <v>0</v>
      </c>
      <c r="G22" s="30">
        <f t="shared" si="5"/>
        <v>0</v>
      </c>
      <c r="H22" s="30">
        <f t="shared" si="5"/>
        <v>0</v>
      </c>
      <c r="I22" s="30">
        <f t="shared" si="5"/>
        <v>0</v>
      </c>
      <c r="J22" s="30">
        <f t="shared" si="5"/>
        <v>0</v>
      </c>
      <c r="K22" s="30">
        <f t="shared" si="5"/>
        <v>0</v>
      </c>
      <c r="L22" s="30">
        <f t="shared" si="5"/>
        <v>0</v>
      </c>
      <c r="M22" s="30">
        <f t="shared" si="5"/>
        <v>0</v>
      </c>
      <c r="N22" s="31" t="s">
        <v>35</v>
      </c>
      <c r="O22" s="32">
        <f t="shared" ref="O22:Z22" si="6">O15-O21</f>
        <v>187</v>
      </c>
      <c r="P22" s="32">
        <f t="shared" si="6"/>
        <v>371</v>
      </c>
      <c r="Q22" s="33">
        <f t="shared" si="6"/>
        <v>0</v>
      </c>
      <c r="R22" s="33">
        <f t="shared" si="6"/>
        <v>0</v>
      </c>
      <c r="S22" s="33">
        <f t="shared" si="6"/>
        <v>0</v>
      </c>
      <c r="T22" s="33">
        <f t="shared" si="6"/>
        <v>0</v>
      </c>
      <c r="U22" s="33">
        <f t="shared" si="6"/>
        <v>-5622</v>
      </c>
      <c r="V22" s="33">
        <f t="shared" si="6"/>
        <v>0</v>
      </c>
      <c r="W22" s="33">
        <f t="shared" si="6"/>
        <v>0</v>
      </c>
      <c r="X22" s="33">
        <f t="shared" si="6"/>
        <v>0</v>
      </c>
      <c r="Y22" s="33">
        <f t="shared" si="6"/>
        <v>0</v>
      </c>
      <c r="Z22" s="33">
        <f t="shared" si="6"/>
        <v>0</v>
      </c>
    </row>
    <row r="25">
      <c r="A25" s="34"/>
      <c r="B25" s="34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6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8"/>
      <c r="O26" s="38"/>
      <c r="P26" s="39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8"/>
      <c r="O27" s="38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30">
      <c r="A30" s="40" t="s">
        <v>51</v>
      </c>
      <c r="B30" s="41" t="s">
        <v>0</v>
      </c>
      <c r="C30" s="41" t="s">
        <v>1</v>
      </c>
      <c r="D30" s="41" t="s">
        <v>2</v>
      </c>
      <c r="E30" s="41" t="s">
        <v>3</v>
      </c>
      <c r="F30" s="41" t="s">
        <v>4</v>
      </c>
      <c r="G30" s="41" t="s">
        <v>5</v>
      </c>
      <c r="H30" s="41" t="s">
        <v>52</v>
      </c>
      <c r="I30" s="41" t="s">
        <v>7</v>
      </c>
      <c r="J30" s="41" t="s">
        <v>8</v>
      </c>
      <c r="K30" s="41" t="s">
        <v>9</v>
      </c>
      <c r="L30" s="41" t="s">
        <v>10</v>
      </c>
      <c r="M30" s="41" t="s">
        <v>11</v>
      </c>
      <c r="N30" s="42" t="s">
        <v>53</v>
      </c>
      <c r="O30" s="43" t="s">
        <v>0</v>
      </c>
      <c r="P30" s="43" t="s">
        <v>1</v>
      </c>
      <c r="Q30" s="43" t="s">
        <v>2</v>
      </c>
      <c r="R30" s="43" t="s">
        <v>3</v>
      </c>
      <c r="S30" s="43" t="s">
        <v>4</v>
      </c>
      <c r="T30" s="43" t="s">
        <v>5</v>
      </c>
      <c r="U30" s="43" t="s">
        <v>6</v>
      </c>
      <c r="V30" s="43" t="s">
        <v>7</v>
      </c>
      <c r="W30" s="43" t="s">
        <v>8</v>
      </c>
      <c r="X30" s="43" t="s">
        <v>9</v>
      </c>
      <c r="Y30" s="43" t="s">
        <v>10</v>
      </c>
      <c r="Z30" s="43" t="s">
        <v>11</v>
      </c>
    </row>
    <row r="31">
      <c r="A31" s="44" t="s">
        <v>54</v>
      </c>
      <c r="B31" s="44">
        <v>612.0</v>
      </c>
      <c r="C31" s="44">
        <v>611.0</v>
      </c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6" t="s">
        <v>55</v>
      </c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>
      <c r="A32" s="44" t="s">
        <v>56</v>
      </c>
      <c r="B32" s="44">
        <v>334.0</v>
      </c>
      <c r="C32" s="44">
        <v>334.0</v>
      </c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6" t="s">
        <v>57</v>
      </c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>
      <c r="A33" s="48" t="s">
        <v>58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50" t="s">
        <v>59</v>
      </c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>
      <c r="A34" s="52" t="s">
        <v>60</v>
      </c>
      <c r="B34" s="52">
        <v>27.0</v>
      </c>
      <c r="C34" s="52">
        <v>27.0</v>
      </c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4" t="s">
        <v>61</v>
      </c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>
      <c r="A35" s="56" t="s">
        <v>62</v>
      </c>
      <c r="B35" s="56">
        <v>30.5</v>
      </c>
      <c r="C35" s="56">
        <v>28.0</v>
      </c>
      <c r="D35" s="56"/>
      <c r="E35" s="56"/>
      <c r="F35" s="56"/>
      <c r="G35" s="57"/>
      <c r="H35" s="57"/>
      <c r="I35" s="57"/>
      <c r="J35" s="57"/>
      <c r="K35" s="57"/>
      <c r="L35" s="57"/>
      <c r="M35" s="57"/>
      <c r="N35" s="58" t="s">
        <v>63</v>
      </c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>
      <c r="A36" s="60" t="s">
        <v>64</v>
      </c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2" t="s">
        <v>65</v>
      </c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</row>
    <row r="50">
      <c r="A50" s="64" t="s">
        <v>66</v>
      </c>
      <c r="B50" s="65">
        <v>2085.0</v>
      </c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4" t="s">
        <v>67</v>
      </c>
      <c r="O50" s="67">
        <f t="shared" ref="O50:Z50" si="7">SUM(O51:O52)</f>
        <v>123974</v>
      </c>
      <c r="P50" s="67">
        <f t="shared" si="7"/>
        <v>0</v>
      </c>
      <c r="Q50" s="67">
        <f t="shared" si="7"/>
        <v>0</v>
      </c>
      <c r="R50" s="67">
        <f t="shared" si="7"/>
        <v>0</v>
      </c>
      <c r="S50" s="67">
        <f t="shared" si="7"/>
        <v>0</v>
      </c>
      <c r="T50" s="67">
        <f t="shared" si="7"/>
        <v>0</v>
      </c>
      <c r="U50" s="67">
        <f t="shared" si="7"/>
        <v>0</v>
      </c>
      <c r="V50" s="67">
        <f t="shared" si="7"/>
        <v>0</v>
      </c>
      <c r="W50" s="67">
        <f t="shared" si="7"/>
        <v>0</v>
      </c>
      <c r="X50" s="67">
        <f t="shared" si="7"/>
        <v>0</v>
      </c>
      <c r="Y50" s="67">
        <f t="shared" si="7"/>
        <v>0</v>
      </c>
      <c r="Z50" s="67">
        <f t="shared" si="7"/>
        <v>0</v>
      </c>
    </row>
    <row r="51">
      <c r="A51" s="68"/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6" t="s">
        <v>68</v>
      </c>
      <c r="O51" s="69">
        <v>61648.0</v>
      </c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</row>
    <row r="52">
      <c r="A52" s="68"/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6" t="s">
        <v>69</v>
      </c>
      <c r="O52" s="69">
        <v>62326.0</v>
      </c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0.13"/>
    <col customWidth="1" min="2" max="2" width="8.38"/>
    <col customWidth="1" min="3" max="3" width="6.5"/>
    <col customWidth="1" min="4" max="4" width="6.13"/>
    <col customWidth="1" min="5" max="5" width="5.75"/>
    <col customWidth="1" min="6" max="6" width="6.13"/>
    <col customWidth="1" min="7" max="8" width="5.63"/>
    <col customWidth="1" min="9" max="9" width="4.88"/>
    <col customWidth="1" min="10" max="10" width="5.75"/>
    <col customWidth="1" min="11" max="11" width="5.88"/>
    <col customWidth="1" min="12" max="12" width="6.5"/>
    <col customWidth="1" min="13" max="13" width="5.75"/>
    <col customWidth="1" min="14" max="14" width="5.25"/>
    <col customWidth="1" min="15" max="15" width="0.38"/>
    <col customWidth="1" min="16" max="16" width="44.88"/>
    <col customWidth="1" min="17" max="17" width="7.63"/>
    <col customWidth="1" min="18" max="18" width="4.75"/>
    <col customWidth="1" min="19" max="19" width="5.63"/>
    <col customWidth="1" min="20" max="20" width="4.75"/>
    <col customWidth="1" min="21" max="22" width="5.63"/>
    <col customWidth="1" min="23" max="23" width="4.88"/>
    <col customWidth="1" min="24" max="27" width="4.75"/>
    <col customWidth="1" min="28" max="28" width="4.88"/>
    <col customWidth="1" min="29" max="29" width="6.88"/>
  </cols>
  <sheetData>
    <row r="1">
      <c r="A1" s="70" t="s">
        <v>70</v>
      </c>
      <c r="B1" s="71" t="s">
        <v>71</v>
      </c>
      <c r="C1" s="71" t="s">
        <v>0</v>
      </c>
      <c r="D1" s="71" t="s">
        <v>1</v>
      </c>
      <c r="E1" s="71" t="s">
        <v>2</v>
      </c>
      <c r="F1" s="71" t="s">
        <v>3</v>
      </c>
      <c r="G1" s="71" t="s">
        <v>4</v>
      </c>
      <c r="H1" s="71" t="s">
        <v>5</v>
      </c>
      <c r="I1" s="71" t="s">
        <v>6</v>
      </c>
      <c r="J1" s="71" t="s">
        <v>7</v>
      </c>
      <c r="K1" s="71" t="s">
        <v>8</v>
      </c>
      <c r="L1" s="71" t="s">
        <v>9</v>
      </c>
      <c r="M1" s="71" t="s">
        <v>10</v>
      </c>
      <c r="N1" s="72" t="s">
        <v>11</v>
      </c>
      <c r="O1" s="73"/>
      <c r="P1" s="72" t="s">
        <v>72</v>
      </c>
      <c r="Q1" s="72" t="s">
        <v>73</v>
      </c>
      <c r="R1" s="72" t="s">
        <v>0</v>
      </c>
      <c r="S1" s="72" t="s">
        <v>1</v>
      </c>
      <c r="T1" s="72" t="s">
        <v>2</v>
      </c>
      <c r="U1" s="72" t="s">
        <v>3</v>
      </c>
      <c r="V1" s="72" t="s">
        <v>4</v>
      </c>
      <c r="W1" s="72" t="s">
        <v>5</v>
      </c>
      <c r="X1" s="72" t="s">
        <v>6</v>
      </c>
      <c r="Y1" s="72" t="s">
        <v>74</v>
      </c>
      <c r="Z1" s="72" t="s">
        <v>8</v>
      </c>
      <c r="AA1" s="72" t="s">
        <v>9</v>
      </c>
      <c r="AB1" s="72" t="s">
        <v>10</v>
      </c>
      <c r="AC1" s="72" t="s">
        <v>11</v>
      </c>
    </row>
    <row r="2" ht="15.75" customHeight="1">
      <c r="A2" s="74" t="s">
        <v>75</v>
      </c>
      <c r="B2" s="75"/>
      <c r="C2" s="76">
        <v>4333.0</v>
      </c>
      <c r="D2" s="76">
        <v>4417.0</v>
      </c>
      <c r="E2" s="76">
        <v>4565.0</v>
      </c>
      <c r="F2" s="76">
        <v>4700.0</v>
      </c>
      <c r="G2" s="76">
        <v>4463.0</v>
      </c>
      <c r="H2" s="76">
        <v>6573.0</v>
      </c>
      <c r="I2" s="76">
        <v>4513.0</v>
      </c>
      <c r="J2" s="76">
        <v>4525.0</v>
      </c>
      <c r="K2" s="76">
        <v>4975.0</v>
      </c>
      <c r="L2" s="76">
        <v>4538.0</v>
      </c>
      <c r="M2" s="76">
        <v>4401.0</v>
      </c>
      <c r="N2" s="76">
        <v>4527.0</v>
      </c>
      <c r="O2" s="73"/>
      <c r="P2" s="77" t="s">
        <v>76</v>
      </c>
      <c r="Q2" s="75">
        <v>0.0</v>
      </c>
      <c r="R2" s="76">
        <v>1571.0</v>
      </c>
      <c r="S2" s="76">
        <v>2637.0</v>
      </c>
      <c r="T2" s="76">
        <v>2486.0</v>
      </c>
      <c r="U2" s="76">
        <v>2535.0</v>
      </c>
      <c r="V2" s="76">
        <v>4496.0</v>
      </c>
      <c r="W2" s="76">
        <v>1912.0</v>
      </c>
      <c r="X2" s="76">
        <v>2017.0</v>
      </c>
      <c r="Y2" s="76">
        <v>1545.0</v>
      </c>
      <c r="Z2" s="76">
        <v>1803.0</v>
      </c>
      <c r="AA2" s="76">
        <v>4666.0</v>
      </c>
      <c r="AB2" s="76">
        <v>2502.0</v>
      </c>
      <c r="AC2" s="76">
        <v>2579.0</v>
      </c>
    </row>
    <row r="3" ht="15.75" customHeight="1">
      <c r="A3" s="78" t="s">
        <v>77</v>
      </c>
      <c r="B3" s="79">
        <v>613013.0</v>
      </c>
      <c r="C3" s="76">
        <v>0.0</v>
      </c>
      <c r="D3" s="75">
        <v>1625.0</v>
      </c>
      <c r="E3" s="75">
        <v>1625.0</v>
      </c>
      <c r="F3" s="75">
        <v>1625.0</v>
      </c>
      <c r="G3" s="76">
        <v>1624.0</v>
      </c>
      <c r="H3" s="75">
        <v>1625.0</v>
      </c>
      <c r="I3" s="75">
        <v>1625.0</v>
      </c>
      <c r="J3" s="75">
        <v>1625.0</v>
      </c>
      <c r="K3" s="75">
        <v>1625.0</v>
      </c>
      <c r="L3" s="75">
        <v>1625.0</v>
      </c>
      <c r="M3" s="75">
        <v>1625.0</v>
      </c>
      <c r="N3" s="75">
        <v>1625.0</v>
      </c>
      <c r="O3" s="73"/>
      <c r="P3" s="79" t="s">
        <v>78</v>
      </c>
      <c r="Q3" s="76">
        <v>17159.0</v>
      </c>
      <c r="R3" s="76">
        <v>740.0</v>
      </c>
      <c r="S3" s="75">
        <v>467.0</v>
      </c>
      <c r="T3" s="76">
        <v>467.0</v>
      </c>
      <c r="U3" s="75">
        <v>467.0</v>
      </c>
      <c r="V3" s="76">
        <v>746.0</v>
      </c>
      <c r="W3" s="76">
        <v>467.0</v>
      </c>
      <c r="X3" s="76">
        <v>0.0</v>
      </c>
      <c r="Y3" s="76">
        <v>508.0</v>
      </c>
      <c r="Z3" s="75">
        <v>467.0</v>
      </c>
      <c r="AA3" s="76">
        <v>2607.0</v>
      </c>
      <c r="AB3" s="75">
        <v>467.0</v>
      </c>
      <c r="AC3" s="76">
        <v>0.0</v>
      </c>
    </row>
    <row r="4" ht="15.75" customHeight="1">
      <c r="A4" s="79" t="s">
        <v>79</v>
      </c>
      <c r="B4" s="78">
        <v>0.0</v>
      </c>
      <c r="C4" s="75">
        <v>426.0</v>
      </c>
      <c r="D4" s="75">
        <v>426.0</v>
      </c>
      <c r="E4" s="76">
        <v>469.0</v>
      </c>
      <c r="F4" s="76">
        <v>469.0</v>
      </c>
      <c r="G4" s="76">
        <v>469.0</v>
      </c>
      <c r="H4" s="76">
        <v>469.0</v>
      </c>
      <c r="I4" s="76">
        <v>0.0</v>
      </c>
      <c r="J4" s="76">
        <v>0.0</v>
      </c>
      <c r="K4" s="76">
        <v>469.0</v>
      </c>
      <c r="L4" s="76">
        <v>469.0</v>
      </c>
      <c r="M4" s="76">
        <v>469.0</v>
      </c>
      <c r="N4" s="76">
        <v>469.0</v>
      </c>
      <c r="O4" s="73"/>
      <c r="P4" s="79" t="s">
        <v>80</v>
      </c>
      <c r="Q4" s="75">
        <v>0.0</v>
      </c>
      <c r="R4" s="75">
        <v>300.0</v>
      </c>
      <c r="S4" s="76">
        <v>340.0</v>
      </c>
      <c r="T4" s="76">
        <v>300.0</v>
      </c>
      <c r="U4" s="76">
        <v>1537.0</v>
      </c>
      <c r="V4" s="76">
        <v>600.0</v>
      </c>
      <c r="W4" s="76">
        <v>490.0</v>
      </c>
      <c r="X4" s="75">
        <v>300.0</v>
      </c>
      <c r="Y4" s="75">
        <v>300.0</v>
      </c>
      <c r="Z4" s="75">
        <v>300.0</v>
      </c>
      <c r="AA4" s="76">
        <v>355.0</v>
      </c>
      <c r="AB4" s="76">
        <v>300.0</v>
      </c>
      <c r="AC4" s="76">
        <v>770.0</v>
      </c>
    </row>
    <row r="5" ht="15.75" customHeight="1">
      <c r="A5" s="79" t="s">
        <v>81</v>
      </c>
      <c r="B5" s="78">
        <v>0.0</v>
      </c>
      <c r="C5" s="75">
        <v>348.0</v>
      </c>
      <c r="D5" s="76">
        <v>186.0</v>
      </c>
      <c r="E5" s="76">
        <v>167.0</v>
      </c>
      <c r="F5" s="76">
        <v>169.0</v>
      </c>
      <c r="G5" s="76">
        <v>0.0</v>
      </c>
      <c r="H5" s="76">
        <v>0.0</v>
      </c>
      <c r="I5" s="76">
        <v>173.0</v>
      </c>
      <c r="J5" s="76">
        <v>215.0</v>
      </c>
      <c r="K5" s="76">
        <v>414.0</v>
      </c>
      <c r="L5" s="76">
        <v>151.0</v>
      </c>
      <c r="M5" s="76">
        <v>0.0</v>
      </c>
      <c r="N5" s="76">
        <v>153.0</v>
      </c>
      <c r="O5" s="73"/>
      <c r="P5" s="79" t="s">
        <v>82</v>
      </c>
      <c r="Q5" s="75">
        <v>0.0</v>
      </c>
      <c r="R5" s="75">
        <v>0.0</v>
      </c>
      <c r="S5" s="76">
        <v>1106.0</v>
      </c>
      <c r="T5" s="76">
        <v>490.0</v>
      </c>
      <c r="U5" s="76">
        <v>0.0</v>
      </c>
      <c r="V5" s="76">
        <v>1711.0</v>
      </c>
      <c r="W5" s="76">
        <v>294.0</v>
      </c>
      <c r="X5" s="76">
        <v>484.0</v>
      </c>
      <c r="Y5" s="75">
        <v>0.0</v>
      </c>
      <c r="Z5" s="76">
        <v>500.0</v>
      </c>
      <c r="AA5" s="76">
        <v>0.0</v>
      </c>
      <c r="AB5" s="76">
        <v>577.0</v>
      </c>
      <c r="AC5" s="76">
        <v>85.0</v>
      </c>
    </row>
    <row r="6" ht="15.75" customHeight="1">
      <c r="A6" s="80" t="s">
        <v>83</v>
      </c>
      <c r="B6" s="79">
        <v>0.0</v>
      </c>
      <c r="C6" s="76">
        <v>0.0</v>
      </c>
      <c r="D6" s="76">
        <v>760.0</v>
      </c>
      <c r="E6" s="76">
        <v>1000.0</v>
      </c>
      <c r="F6" s="76">
        <v>1000.0</v>
      </c>
      <c r="G6" s="76">
        <v>1000.0</v>
      </c>
      <c r="H6" s="76">
        <v>2600.0</v>
      </c>
      <c r="I6" s="76">
        <v>1001.0</v>
      </c>
      <c r="J6" s="76">
        <v>1450.0</v>
      </c>
      <c r="K6" s="76">
        <v>1500.0</v>
      </c>
      <c r="L6" s="76">
        <v>1500.0</v>
      </c>
      <c r="M6" s="76">
        <v>1250.0</v>
      </c>
      <c r="N6" s="76">
        <v>1300.0</v>
      </c>
      <c r="O6" s="73"/>
      <c r="P6" s="79" t="s">
        <v>84</v>
      </c>
      <c r="Q6" s="75">
        <v>0.0</v>
      </c>
      <c r="R6" s="76">
        <v>0.0</v>
      </c>
      <c r="S6" s="76">
        <v>0.0</v>
      </c>
      <c r="T6" s="76">
        <v>465.0</v>
      </c>
      <c r="U6" s="76">
        <v>104.0</v>
      </c>
      <c r="V6" s="76">
        <v>300.0</v>
      </c>
      <c r="W6" s="76">
        <v>150.0</v>
      </c>
      <c r="X6" s="76">
        <v>0.0</v>
      </c>
      <c r="Y6" s="76">
        <v>0.0</v>
      </c>
      <c r="Z6" s="76">
        <v>0.0</v>
      </c>
      <c r="AA6" s="76">
        <v>450.0</v>
      </c>
      <c r="AB6" s="76">
        <v>562.0</v>
      </c>
      <c r="AC6" s="76">
        <v>740.0</v>
      </c>
    </row>
    <row r="7" ht="15.75" customHeight="1">
      <c r="A7" s="79" t="s">
        <v>85</v>
      </c>
      <c r="B7" s="79">
        <v>0.0</v>
      </c>
      <c r="C7" s="75">
        <v>0.0</v>
      </c>
      <c r="D7" s="76">
        <v>0.0</v>
      </c>
      <c r="E7" s="75">
        <v>0.0</v>
      </c>
      <c r="F7" s="75">
        <v>0.0</v>
      </c>
      <c r="G7" s="75">
        <v>0.0</v>
      </c>
      <c r="H7" s="76">
        <v>145.0</v>
      </c>
      <c r="I7" s="76">
        <v>33.0</v>
      </c>
      <c r="J7" s="76">
        <v>0.0</v>
      </c>
      <c r="K7" s="75">
        <v>0.0</v>
      </c>
      <c r="L7" s="75">
        <v>0.0</v>
      </c>
      <c r="M7" s="75">
        <v>0.0</v>
      </c>
      <c r="N7" s="75">
        <v>0.0</v>
      </c>
      <c r="O7" s="73"/>
      <c r="P7" s="79" t="s">
        <v>86</v>
      </c>
      <c r="Q7" s="76">
        <v>0.0</v>
      </c>
      <c r="R7" s="75">
        <v>100.0</v>
      </c>
      <c r="S7" s="75">
        <v>100.0</v>
      </c>
      <c r="T7" s="75">
        <v>100.0</v>
      </c>
      <c r="U7" s="75">
        <v>100.0</v>
      </c>
      <c r="V7" s="76">
        <v>100.0</v>
      </c>
      <c r="W7" s="75">
        <v>0.0</v>
      </c>
      <c r="X7" s="75">
        <v>0.0</v>
      </c>
      <c r="Y7" s="76">
        <v>0.0</v>
      </c>
      <c r="Z7" s="76">
        <v>0.0</v>
      </c>
      <c r="AA7" s="76">
        <v>250.0</v>
      </c>
      <c r="AB7" s="76">
        <v>250.0</v>
      </c>
      <c r="AC7" s="76">
        <v>250.0</v>
      </c>
    </row>
    <row r="8" ht="15.75" customHeight="1">
      <c r="A8" s="79" t="s">
        <v>87</v>
      </c>
      <c r="B8" s="79">
        <v>31000.0</v>
      </c>
      <c r="C8" s="76">
        <v>2508.0</v>
      </c>
      <c r="D8" s="75">
        <v>0.0</v>
      </c>
      <c r="E8" s="75">
        <v>0.0</v>
      </c>
      <c r="F8" s="76">
        <v>0.0</v>
      </c>
      <c r="G8" s="75">
        <v>0.0</v>
      </c>
      <c r="H8" s="75">
        <v>0.0</v>
      </c>
      <c r="I8" s="75">
        <v>0.0</v>
      </c>
      <c r="J8" s="75">
        <v>0.0</v>
      </c>
      <c r="K8" s="76">
        <v>0.0</v>
      </c>
      <c r="L8" s="75">
        <v>0.0</v>
      </c>
      <c r="M8" s="75">
        <v>0.0</v>
      </c>
      <c r="N8" s="75">
        <v>0.0</v>
      </c>
      <c r="O8" s="73"/>
      <c r="P8" s="78" t="s">
        <v>88</v>
      </c>
      <c r="Q8" s="75">
        <v>0.0</v>
      </c>
      <c r="R8" s="75">
        <v>250.0</v>
      </c>
      <c r="S8" s="75">
        <v>250.0</v>
      </c>
      <c r="T8" s="75">
        <v>250.0</v>
      </c>
      <c r="U8" s="75">
        <v>250.0</v>
      </c>
      <c r="V8" s="75">
        <v>250.0</v>
      </c>
      <c r="W8" s="75">
        <v>250.0</v>
      </c>
      <c r="X8" s="75">
        <v>250.0</v>
      </c>
      <c r="Y8" s="76" t="s">
        <v>89</v>
      </c>
      <c r="Z8" s="75">
        <v>250.0</v>
      </c>
      <c r="AA8" s="75">
        <v>250.0</v>
      </c>
      <c r="AB8" s="75">
        <v>250.0</v>
      </c>
      <c r="AC8" s="75">
        <v>250.0</v>
      </c>
    </row>
    <row r="9" ht="15.75" customHeight="1">
      <c r="A9" s="81" t="s">
        <v>90</v>
      </c>
      <c r="B9" s="81">
        <v>19326.0</v>
      </c>
      <c r="C9" s="75">
        <v>0.0</v>
      </c>
      <c r="D9" s="75">
        <v>0.0</v>
      </c>
      <c r="E9" s="76">
        <v>0.0</v>
      </c>
      <c r="F9" s="76">
        <v>0.0</v>
      </c>
      <c r="G9" s="76">
        <v>250.0</v>
      </c>
      <c r="H9" s="76">
        <v>250.0</v>
      </c>
      <c r="I9" s="76">
        <v>0.0</v>
      </c>
      <c r="J9" s="76">
        <v>250.0</v>
      </c>
      <c r="K9" s="76">
        <v>238.0</v>
      </c>
      <c r="L9" s="76">
        <v>238.0</v>
      </c>
      <c r="M9" s="76">
        <v>238.0</v>
      </c>
      <c r="N9" s="76">
        <v>238.0</v>
      </c>
      <c r="O9" s="73"/>
      <c r="P9" s="75" t="s">
        <v>91</v>
      </c>
      <c r="Q9" s="75">
        <f>Sum(Q1:Q8)</f>
        <v>17159</v>
      </c>
      <c r="R9" s="75">
        <f t="shared" ref="R9:AC9" si="1">Sum(R3:R8)</f>
        <v>1390</v>
      </c>
      <c r="S9" s="75">
        <f t="shared" si="1"/>
        <v>2263</v>
      </c>
      <c r="T9" s="75">
        <f t="shared" si="1"/>
        <v>2072</v>
      </c>
      <c r="U9" s="75">
        <f t="shared" si="1"/>
        <v>2458</v>
      </c>
      <c r="V9" s="75">
        <f t="shared" si="1"/>
        <v>3707</v>
      </c>
      <c r="W9" s="75">
        <f t="shared" si="1"/>
        <v>1651</v>
      </c>
      <c r="X9" s="75">
        <f t="shared" si="1"/>
        <v>1034</v>
      </c>
      <c r="Y9" s="75">
        <f t="shared" si="1"/>
        <v>808</v>
      </c>
      <c r="Z9" s="75">
        <f t="shared" si="1"/>
        <v>1517</v>
      </c>
      <c r="AA9" s="75">
        <f t="shared" si="1"/>
        <v>3912</v>
      </c>
      <c r="AB9" s="75">
        <f t="shared" si="1"/>
        <v>2406</v>
      </c>
      <c r="AC9" s="75">
        <f t="shared" si="1"/>
        <v>2095</v>
      </c>
    </row>
    <row r="10" ht="15.75" customHeight="1">
      <c r="A10" s="82" t="s">
        <v>92</v>
      </c>
      <c r="B10" s="81">
        <v>150.0</v>
      </c>
      <c r="C10" s="76">
        <v>148.0</v>
      </c>
      <c r="D10" s="76">
        <v>438.0</v>
      </c>
      <c r="E10" s="76">
        <v>693.0</v>
      </c>
      <c r="F10" s="76">
        <v>278.0</v>
      </c>
      <c r="G10" s="76">
        <v>245.0</v>
      </c>
      <c r="H10" s="76">
        <v>459.0</v>
      </c>
      <c r="I10" s="76">
        <v>137.0</v>
      </c>
      <c r="J10" s="76">
        <v>301.0</v>
      </c>
      <c r="K10" s="76">
        <v>384.0</v>
      </c>
      <c r="L10" s="76">
        <v>108.0</v>
      </c>
      <c r="M10" s="76">
        <v>100.0</v>
      </c>
      <c r="N10" s="76">
        <v>110.0</v>
      </c>
      <c r="O10" s="73"/>
      <c r="P10" s="75" t="s">
        <v>73</v>
      </c>
      <c r="Q10" s="75"/>
      <c r="R10" s="75">
        <f t="shared" ref="R10:AC10" si="2">R2-R9</f>
        <v>181</v>
      </c>
      <c r="S10" s="75">
        <f t="shared" si="2"/>
        <v>374</v>
      </c>
      <c r="T10" s="75">
        <f t="shared" si="2"/>
        <v>414</v>
      </c>
      <c r="U10" s="75">
        <f t="shared" si="2"/>
        <v>77</v>
      </c>
      <c r="V10" s="75">
        <f t="shared" si="2"/>
        <v>789</v>
      </c>
      <c r="W10" s="75">
        <f t="shared" si="2"/>
        <v>261</v>
      </c>
      <c r="X10" s="75">
        <f t="shared" si="2"/>
        <v>983</v>
      </c>
      <c r="Y10" s="75">
        <f t="shared" si="2"/>
        <v>737</v>
      </c>
      <c r="Z10" s="75">
        <f t="shared" si="2"/>
        <v>286</v>
      </c>
      <c r="AA10" s="75">
        <f t="shared" si="2"/>
        <v>754</v>
      </c>
      <c r="AB10" s="75">
        <f t="shared" si="2"/>
        <v>96</v>
      </c>
      <c r="AC10" s="75">
        <f t="shared" si="2"/>
        <v>484</v>
      </c>
    </row>
    <row r="11" ht="15.75" customHeight="1">
      <c r="A11" s="81" t="s">
        <v>93</v>
      </c>
      <c r="B11" s="81">
        <v>0.0</v>
      </c>
      <c r="C11" s="75">
        <v>0.0</v>
      </c>
      <c r="D11" s="76">
        <v>308.0</v>
      </c>
      <c r="E11" s="76">
        <v>94.0</v>
      </c>
      <c r="F11" s="76">
        <v>157.0</v>
      </c>
      <c r="G11" s="76">
        <v>29.0</v>
      </c>
      <c r="H11" s="76">
        <v>0.0</v>
      </c>
      <c r="I11" s="76">
        <v>0.0</v>
      </c>
      <c r="J11" s="75">
        <v>0.0</v>
      </c>
      <c r="K11" s="75">
        <v>0.0</v>
      </c>
      <c r="L11" s="75">
        <v>0.0</v>
      </c>
      <c r="M11" s="76">
        <v>109.0</v>
      </c>
      <c r="N11" s="76">
        <v>166.0</v>
      </c>
      <c r="O11" s="73"/>
      <c r="P11" s="72" t="s">
        <v>94</v>
      </c>
      <c r="Q11" s="72" t="s">
        <v>73</v>
      </c>
      <c r="R11" s="72" t="s">
        <v>0</v>
      </c>
      <c r="S11" s="72" t="s">
        <v>1</v>
      </c>
      <c r="T11" s="72" t="s">
        <v>2</v>
      </c>
      <c r="U11" s="72" t="s">
        <v>3</v>
      </c>
      <c r="V11" s="72" t="s">
        <v>4</v>
      </c>
      <c r="W11" s="72" t="s">
        <v>5</v>
      </c>
      <c r="X11" s="72" t="s">
        <v>6</v>
      </c>
      <c r="Y11" s="72" t="s">
        <v>74</v>
      </c>
      <c r="Z11" s="72" t="s">
        <v>8</v>
      </c>
      <c r="AA11" s="72" t="s">
        <v>9</v>
      </c>
      <c r="AB11" s="72" t="s">
        <v>10</v>
      </c>
      <c r="AC11" s="72" t="s">
        <v>11</v>
      </c>
    </row>
    <row r="12" ht="15.75" customHeight="1">
      <c r="A12" s="83" t="s">
        <v>95</v>
      </c>
      <c r="B12" s="81">
        <v>0.0</v>
      </c>
      <c r="C12" s="75"/>
      <c r="D12" s="76"/>
      <c r="E12" s="76"/>
      <c r="F12" s="76"/>
      <c r="G12" s="76"/>
      <c r="H12" s="76">
        <v>416.0</v>
      </c>
      <c r="I12" s="76">
        <v>30.0</v>
      </c>
      <c r="J12" s="79">
        <v>0.0</v>
      </c>
      <c r="K12" s="78"/>
      <c r="L12" s="76">
        <v>29.0</v>
      </c>
      <c r="M12" s="76">
        <v>248.0</v>
      </c>
      <c r="N12" s="76">
        <v>114.0</v>
      </c>
      <c r="O12" s="73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</row>
    <row r="13" ht="15.75" customHeight="1">
      <c r="A13" s="81" t="s">
        <v>96</v>
      </c>
      <c r="B13" s="82">
        <v>0.0</v>
      </c>
      <c r="C13" s="75">
        <v>250.0</v>
      </c>
      <c r="D13" s="75">
        <v>250.0</v>
      </c>
      <c r="E13" s="75">
        <v>250.0</v>
      </c>
      <c r="F13" s="75">
        <v>250.0</v>
      </c>
      <c r="G13" s="76">
        <v>250.0</v>
      </c>
      <c r="H13" s="76">
        <v>200.0</v>
      </c>
      <c r="I13" s="76">
        <v>200.0</v>
      </c>
      <c r="J13" s="79">
        <v>0.0</v>
      </c>
      <c r="K13" s="76">
        <v>200.0</v>
      </c>
      <c r="L13" s="76">
        <v>200.0</v>
      </c>
      <c r="M13" s="76">
        <v>125.0</v>
      </c>
      <c r="N13" s="76">
        <v>125.0</v>
      </c>
      <c r="O13" s="73"/>
      <c r="P13" s="77" t="s">
        <v>76</v>
      </c>
      <c r="Q13" s="75">
        <v>0.0</v>
      </c>
      <c r="R13" s="76">
        <v>1881.0</v>
      </c>
      <c r="S13" s="76">
        <v>2331.0</v>
      </c>
      <c r="T13" s="76">
        <v>2394.0</v>
      </c>
      <c r="U13" s="76">
        <v>2420.0</v>
      </c>
      <c r="V13" s="76">
        <v>1912.0</v>
      </c>
      <c r="W13" s="76">
        <v>1742.0</v>
      </c>
      <c r="X13" s="76">
        <v>2482.0</v>
      </c>
      <c r="Y13" s="76">
        <v>1916.0</v>
      </c>
      <c r="Z13" s="76">
        <v>2587.0</v>
      </c>
      <c r="AA13" s="76">
        <v>2299.0</v>
      </c>
      <c r="AB13" s="76">
        <v>2423.0</v>
      </c>
      <c r="AC13" s="76">
        <v>2577.0</v>
      </c>
    </row>
    <row r="14" ht="15.75" customHeight="1">
      <c r="A14" s="81" t="s">
        <v>97</v>
      </c>
      <c r="B14" s="82">
        <v>0.0</v>
      </c>
      <c r="C14" s="76">
        <v>124.0</v>
      </c>
      <c r="D14" s="76">
        <v>82.0</v>
      </c>
      <c r="E14" s="76">
        <v>250.0</v>
      </c>
      <c r="F14" s="76">
        <v>475.0</v>
      </c>
      <c r="G14" s="76">
        <v>465.0</v>
      </c>
      <c r="H14" s="76">
        <v>4.0</v>
      </c>
      <c r="I14" s="76">
        <v>758.0</v>
      </c>
      <c r="J14" s="76">
        <v>648.0</v>
      </c>
      <c r="K14" s="75">
        <v>0.0</v>
      </c>
      <c r="L14" s="76">
        <v>77.0</v>
      </c>
      <c r="M14" s="76">
        <v>30.0</v>
      </c>
      <c r="N14" s="76">
        <v>191.0</v>
      </c>
      <c r="O14" s="73"/>
      <c r="P14" s="79" t="s">
        <v>98</v>
      </c>
      <c r="Q14" s="76">
        <v>15013.0</v>
      </c>
      <c r="R14" s="76">
        <v>258.0</v>
      </c>
      <c r="S14" s="76">
        <v>1100.0</v>
      </c>
      <c r="T14" s="76">
        <v>564.0</v>
      </c>
      <c r="U14" s="76">
        <v>529.0</v>
      </c>
      <c r="V14" s="76">
        <v>250.0</v>
      </c>
      <c r="W14" s="76">
        <v>272.0</v>
      </c>
      <c r="X14" s="76">
        <v>994.0</v>
      </c>
      <c r="Y14" s="76">
        <v>467.0</v>
      </c>
      <c r="Z14" s="76">
        <v>1287.0</v>
      </c>
      <c r="AA14" s="76">
        <v>1892.0</v>
      </c>
      <c r="AB14" s="76">
        <v>315.0</v>
      </c>
      <c r="AC14" s="76">
        <v>467.0</v>
      </c>
    </row>
    <row r="15" ht="15.75" customHeight="1">
      <c r="A15" s="84" t="s">
        <v>33</v>
      </c>
      <c r="B15" s="82">
        <f t="shared" ref="B15:N15" si="3">Sum(B3:B14)</f>
        <v>663489</v>
      </c>
      <c r="C15" s="75">
        <f t="shared" si="3"/>
        <v>3804</v>
      </c>
      <c r="D15" s="75">
        <f t="shared" si="3"/>
        <v>4075</v>
      </c>
      <c r="E15" s="75">
        <f t="shared" si="3"/>
        <v>4548</v>
      </c>
      <c r="F15" s="75">
        <f t="shared" si="3"/>
        <v>4423</v>
      </c>
      <c r="G15" s="75">
        <f t="shared" si="3"/>
        <v>4332</v>
      </c>
      <c r="H15" s="75">
        <f t="shared" si="3"/>
        <v>6168</v>
      </c>
      <c r="I15" s="75">
        <f t="shared" si="3"/>
        <v>3957</v>
      </c>
      <c r="J15" s="75">
        <f t="shared" si="3"/>
        <v>4489</v>
      </c>
      <c r="K15" s="75">
        <f t="shared" si="3"/>
        <v>4830</v>
      </c>
      <c r="L15" s="75">
        <f t="shared" si="3"/>
        <v>4397</v>
      </c>
      <c r="M15" s="75">
        <f t="shared" si="3"/>
        <v>4194</v>
      </c>
      <c r="N15" s="75">
        <f t="shared" si="3"/>
        <v>4491</v>
      </c>
      <c r="O15" s="73"/>
      <c r="P15" s="79" t="s">
        <v>99</v>
      </c>
      <c r="Q15" s="75">
        <v>0.0</v>
      </c>
      <c r="R15" s="76">
        <v>400.0</v>
      </c>
      <c r="S15" s="75">
        <v>300.0</v>
      </c>
      <c r="T15" s="76">
        <v>320.0</v>
      </c>
      <c r="U15" s="76">
        <v>1000.0</v>
      </c>
      <c r="V15" s="75">
        <v>300.0</v>
      </c>
      <c r="W15" s="76">
        <v>680.0</v>
      </c>
      <c r="X15" s="76">
        <v>370.0</v>
      </c>
      <c r="Y15" s="75">
        <v>300.0</v>
      </c>
      <c r="Z15" s="75">
        <v>300.0</v>
      </c>
      <c r="AA15" s="76">
        <v>0.0</v>
      </c>
      <c r="AB15" s="76">
        <v>547.0</v>
      </c>
      <c r="AC15" s="76">
        <v>1300.0</v>
      </c>
    </row>
    <row r="16" ht="15.75" customHeight="1">
      <c r="A16" s="85" t="s">
        <v>73</v>
      </c>
      <c r="B16" s="86"/>
      <c r="C16" s="87">
        <f t="shared" ref="C16:N16" si="4">C2-C15</f>
        <v>529</v>
      </c>
      <c r="D16" s="87">
        <f t="shared" si="4"/>
        <v>342</v>
      </c>
      <c r="E16" s="87">
        <f t="shared" si="4"/>
        <v>17</v>
      </c>
      <c r="F16" s="87">
        <f t="shared" si="4"/>
        <v>277</v>
      </c>
      <c r="G16" s="87">
        <f t="shared" si="4"/>
        <v>131</v>
      </c>
      <c r="H16" s="87">
        <f t="shared" si="4"/>
        <v>405</v>
      </c>
      <c r="I16" s="87">
        <f t="shared" si="4"/>
        <v>556</v>
      </c>
      <c r="J16" s="87">
        <f t="shared" si="4"/>
        <v>36</v>
      </c>
      <c r="K16" s="87">
        <f t="shared" si="4"/>
        <v>145</v>
      </c>
      <c r="L16" s="87">
        <f t="shared" si="4"/>
        <v>141</v>
      </c>
      <c r="M16" s="87">
        <f t="shared" si="4"/>
        <v>207</v>
      </c>
      <c r="N16" s="87">
        <f t="shared" si="4"/>
        <v>36</v>
      </c>
      <c r="O16" s="73"/>
      <c r="P16" s="79" t="s">
        <v>100</v>
      </c>
      <c r="Q16" s="75">
        <v>0.0</v>
      </c>
      <c r="R16" s="76">
        <v>558.0</v>
      </c>
      <c r="S16" s="76">
        <v>0.0</v>
      </c>
      <c r="T16" s="76">
        <v>284.0</v>
      </c>
      <c r="U16" s="76">
        <v>361.0</v>
      </c>
      <c r="V16" s="76">
        <v>0.0</v>
      </c>
      <c r="W16" s="75">
        <v>0.0</v>
      </c>
      <c r="X16" s="76">
        <v>496.0</v>
      </c>
      <c r="Y16" s="75">
        <v>0.0</v>
      </c>
      <c r="Z16" s="76">
        <v>228.0</v>
      </c>
      <c r="AA16" s="76">
        <v>38.0</v>
      </c>
      <c r="AB16" s="76">
        <v>459.0</v>
      </c>
      <c r="AC16" s="76">
        <v>138.0</v>
      </c>
    </row>
    <row r="17" ht="15.75" customHeight="1">
      <c r="A17" s="88" t="s">
        <v>101</v>
      </c>
      <c r="B17" s="72" t="s">
        <v>71</v>
      </c>
      <c r="C17" s="72" t="s">
        <v>0</v>
      </c>
      <c r="D17" s="72" t="s">
        <v>1</v>
      </c>
      <c r="E17" s="72" t="s">
        <v>2</v>
      </c>
      <c r="F17" s="72" t="s">
        <v>3</v>
      </c>
      <c r="G17" s="72" t="s">
        <v>4</v>
      </c>
      <c r="H17" s="72" t="s">
        <v>5</v>
      </c>
      <c r="I17" s="72" t="s">
        <v>6</v>
      </c>
      <c r="J17" s="72" t="s">
        <v>7</v>
      </c>
      <c r="K17" s="72" t="s">
        <v>8</v>
      </c>
      <c r="L17" s="72" t="s">
        <v>9</v>
      </c>
      <c r="M17" s="72" t="s">
        <v>10</v>
      </c>
      <c r="N17" s="72" t="s">
        <v>11</v>
      </c>
      <c r="O17" s="73"/>
      <c r="P17" s="79" t="s">
        <v>102</v>
      </c>
      <c r="Q17" s="75">
        <v>0.0</v>
      </c>
      <c r="R17" s="76">
        <v>200.0</v>
      </c>
      <c r="S17" s="76">
        <v>200.0</v>
      </c>
      <c r="T17" s="76">
        <v>520.0</v>
      </c>
      <c r="U17" s="76">
        <v>154.0</v>
      </c>
      <c r="V17" s="76">
        <v>0.0</v>
      </c>
      <c r="W17" s="76">
        <v>0.0</v>
      </c>
      <c r="X17" s="76">
        <v>0.0</v>
      </c>
      <c r="Y17" s="76">
        <v>200.0</v>
      </c>
      <c r="Z17" s="76">
        <v>0.0</v>
      </c>
      <c r="AA17" s="76">
        <v>334.0</v>
      </c>
      <c r="AB17" s="76">
        <v>500.0</v>
      </c>
      <c r="AC17" s="76">
        <v>0.0</v>
      </c>
    </row>
    <row r="18" ht="15.75" customHeight="1">
      <c r="A18" s="74" t="s">
        <v>75</v>
      </c>
      <c r="B18" s="75"/>
      <c r="C18" s="76">
        <v>4774.0</v>
      </c>
      <c r="D18" s="76">
        <v>4661.0</v>
      </c>
      <c r="E18" s="76">
        <v>4515.0</v>
      </c>
      <c r="F18" s="76">
        <v>4547.0</v>
      </c>
      <c r="G18" s="76">
        <v>4443.0</v>
      </c>
      <c r="H18" s="76">
        <v>4945.0</v>
      </c>
      <c r="I18" s="76">
        <v>4820.0</v>
      </c>
      <c r="J18" s="76">
        <v>4438.0</v>
      </c>
      <c r="K18" s="76">
        <v>4421.0</v>
      </c>
      <c r="L18" s="76">
        <v>4484.0</v>
      </c>
      <c r="M18" s="75">
        <v>4315.0</v>
      </c>
      <c r="N18" s="76">
        <v>4371.0</v>
      </c>
      <c r="O18" s="73"/>
      <c r="P18" s="79" t="str">
        <f>P7</f>
        <v>m1: SPWHS APHUG (Aug'24-May'25:$100*10=$1K) + MC $12K (Engineering Pre-Major) (Sep'25-Aug'27: $250*24)</v>
      </c>
      <c r="Q18" s="75">
        <v>0.0</v>
      </c>
      <c r="R18" s="76">
        <v>0.0</v>
      </c>
      <c r="S18" s="75">
        <v>0.0</v>
      </c>
      <c r="T18" s="75">
        <v>0.0</v>
      </c>
      <c r="U18" s="75">
        <v>0.0</v>
      </c>
      <c r="V18" s="75">
        <v>0.0</v>
      </c>
      <c r="W18" s="75">
        <v>0.0</v>
      </c>
      <c r="X18" s="75">
        <v>0.0</v>
      </c>
      <c r="Y18" s="76">
        <v>0.0</v>
      </c>
      <c r="Z18" s="76">
        <v>500.0</v>
      </c>
      <c r="AA18" s="79">
        <v>0.0</v>
      </c>
      <c r="AB18" s="76">
        <v>250.0</v>
      </c>
      <c r="AC18" s="76">
        <v>250.0</v>
      </c>
    </row>
    <row r="19" ht="15.75" customHeight="1">
      <c r="A19" s="78" t="s">
        <v>77</v>
      </c>
      <c r="B19" s="78">
        <f>B3</f>
        <v>613013</v>
      </c>
      <c r="C19" s="75">
        <v>1625.0</v>
      </c>
      <c r="D19" s="75">
        <v>1625.0</v>
      </c>
      <c r="E19" s="75">
        <v>1625.0</v>
      </c>
      <c r="F19" s="76">
        <v>1620.0</v>
      </c>
      <c r="G19" s="75">
        <v>1625.0</v>
      </c>
      <c r="H19" s="75">
        <v>1625.0</v>
      </c>
      <c r="I19" s="76">
        <v>1624.0</v>
      </c>
      <c r="J19" s="76">
        <v>0.0</v>
      </c>
      <c r="K19" s="75">
        <v>1625.0</v>
      </c>
      <c r="L19" s="75">
        <v>1625.0</v>
      </c>
      <c r="M19" s="75">
        <v>1625.0</v>
      </c>
      <c r="N19" s="75">
        <v>1625.0</v>
      </c>
      <c r="O19" s="73"/>
      <c r="P19" s="78" t="s">
        <v>88</v>
      </c>
      <c r="Q19" s="75">
        <v>0.0</v>
      </c>
      <c r="R19" s="75">
        <v>250.0</v>
      </c>
      <c r="S19" s="75">
        <v>250.0</v>
      </c>
      <c r="T19" s="75">
        <v>250.0</v>
      </c>
      <c r="U19" s="75">
        <v>250.0</v>
      </c>
      <c r="V19" s="76">
        <v>250.0</v>
      </c>
      <c r="W19" s="75">
        <v>250.0</v>
      </c>
      <c r="X19" s="75">
        <v>250.0</v>
      </c>
      <c r="Y19" s="75">
        <v>250.0</v>
      </c>
      <c r="Z19" s="75">
        <v>250.0</v>
      </c>
      <c r="AA19" s="79">
        <v>0.0</v>
      </c>
      <c r="AB19" s="75">
        <v>250.0</v>
      </c>
      <c r="AC19" s="75">
        <v>250.0</v>
      </c>
    </row>
    <row r="20" ht="15.75" customHeight="1">
      <c r="A20" s="79" t="s">
        <v>103</v>
      </c>
      <c r="B20" s="78">
        <v>0.0</v>
      </c>
      <c r="C20" s="75">
        <v>0.0</v>
      </c>
      <c r="D20" s="75">
        <v>0.0</v>
      </c>
      <c r="E20" s="75">
        <v>0.0</v>
      </c>
      <c r="F20" s="75">
        <v>0.0</v>
      </c>
      <c r="G20" s="75">
        <v>0.0</v>
      </c>
      <c r="H20" s="75">
        <v>0.0</v>
      </c>
      <c r="I20" s="76">
        <v>469.0</v>
      </c>
      <c r="J20" s="76">
        <v>469.0</v>
      </c>
      <c r="K20" s="75">
        <v>0.0</v>
      </c>
      <c r="L20" s="75">
        <v>0.0</v>
      </c>
      <c r="M20" s="75">
        <v>0.0</v>
      </c>
      <c r="N20" s="75">
        <v>0.0</v>
      </c>
      <c r="O20" s="73"/>
      <c r="P20" s="75" t="s">
        <v>104</v>
      </c>
      <c r="Q20" s="75">
        <f>Sum(Q10:Q19)</f>
        <v>15013</v>
      </c>
      <c r="R20" s="75">
        <f t="shared" ref="R20:AC20" si="5">Sum(R14:R19)</f>
        <v>1666</v>
      </c>
      <c r="S20" s="75">
        <f t="shared" si="5"/>
        <v>1850</v>
      </c>
      <c r="T20" s="75">
        <f t="shared" si="5"/>
        <v>1938</v>
      </c>
      <c r="U20" s="75">
        <f t="shared" si="5"/>
        <v>2294</v>
      </c>
      <c r="V20" s="75">
        <f t="shared" si="5"/>
        <v>800</v>
      </c>
      <c r="W20" s="75">
        <f t="shared" si="5"/>
        <v>1202</v>
      </c>
      <c r="X20" s="75">
        <f t="shared" si="5"/>
        <v>2110</v>
      </c>
      <c r="Y20" s="75">
        <f t="shared" si="5"/>
        <v>1217</v>
      </c>
      <c r="Z20" s="75">
        <f t="shared" si="5"/>
        <v>2565</v>
      </c>
      <c r="AA20" s="75">
        <f t="shared" si="5"/>
        <v>2264</v>
      </c>
      <c r="AB20" s="75">
        <f t="shared" si="5"/>
        <v>2321</v>
      </c>
      <c r="AC20" s="75">
        <f t="shared" si="5"/>
        <v>2405</v>
      </c>
    </row>
    <row r="21" ht="15.75" customHeight="1">
      <c r="A21" s="78" t="s">
        <v>105</v>
      </c>
      <c r="B21" s="79">
        <v>0.0</v>
      </c>
      <c r="C21" s="75">
        <v>0.0</v>
      </c>
      <c r="D21" s="76">
        <v>251.0</v>
      </c>
      <c r="E21" s="76">
        <v>193.0</v>
      </c>
      <c r="F21" s="75">
        <v>0.0</v>
      </c>
      <c r="G21" s="76">
        <v>203.0</v>
      </c>
      <c r="H21" s="76">
        <v>217.0</v>
      </c>
      <c r="I21" s="76">
        <v>227.0</v>
      </c>
      <c r="J21" s="76">
        <v>262.0</v>
      </c>
      <c r="K21" s="76">
        <v>200.0</v>
      </c>
      <c r="L21" s="76">
        <v>217.0</v>
      </c>
      <c r="M21" s="76">
        <v>234.0</v>
      </c>
      <c r="N21" s="76">
        <v>254.0</v>
      </c>
      <c r="O21" s="73"/>
      <c r="P21" s="75" t="s">
        <v>73</v>
      </c>
      <c r="Q21" s="78"/>
      <c r="R21" s="75">
        <f t="shared" ref="R21:AC21" si="6">R13-R20</f>
        <v>215</v>
      </c>
      <c r="S21" s="75">
        <f t="shared" si="6"/>
        <v>481</v>
      </c>
      <c r="T21" s="75">
        <f t="shared" si="6"/>
        <v>456</v>
      </c>
      <c r="U21" s="75">
        <f t="shared" si="6"/>
        <v>126</v>
      </c>
      <c r="V21" s="75">
        <f t="shared" si="6"/>
        <v>1112</v>
      </c>
      <c r="W21" s="75">
        <f t="shared" si="6"/>
        <v>540</v>
      </c>
      <c r="X21" s="75">
        <f t="shared" si="6"/>
        <v>372</v>
      </c>
      <c r="Y21" s="75">
        <f t="shared" si="6"/>
        <v>699</v>
      </c>
      <c r="Z21" s="75">
        <f t="shared" si="6"/>
        <v>22</v>
      </c>
      <c r="AA21" s="75">
        <f t="shared" si="6"/>
        <v>35</v>
      </c>
      <c r="AB21" s="75">
        <f t="shared" si="6"/>
        <v>102</v>
      </c>
      <c r="AC21" s="75">
        <f t="shared" si="6"/>
        <v>172</v>
      </c>
    </row>
    <row r="22" ht="15.75" customHeight="1">
      <c r="A22" s="78" t="s">
        <v>106</v>
      </c>
      <c r="B22" s="79">
        <f t="shared" ref="B22:B23" si="8">B6</f>
        <v>0</v>
      </c>
      <c r="C22" s="76">
        <v>41.0</v>
      </c>
      <c r="D22" s="76">
        <v>500.0</v>
      </c>
      <c r="E22" s="76">
        <v>1250.0</v>
      </c>
      <c r="F22" s="76">
        <v>1250.0</v>
      </c>
      <c r="G22" s="76">
        <v>1500.0</v>
      </c>
      <c r="H22" s="76">
        <v>1200.0</v>
      </c>
      <c r="I22" s="76">
        <v>1000.0</v>
      </c>
      <c r="J22" s="76">
        <v>1150.0</v>
      </c>
      <c r="K22" s="76">
        <v>1000.0</v>
      </c>
      <c r="L22" s="76">
        <v>1000.0</v>
      </c>
      <c r="M22" s="76">
        <v>250.0</v>
      </c>
      <c r="N22" s="76">
        <v>1250.0</v>
      </c>
      <c r="O22" s="73"/>
      <c r="P22" s="72" t="s">
        <v>107</v>
      </c>
      <c r="Q22" s="89">
        <f>Q9+Q20</f>
        <v>32172</v>
      </c>
      <c r="R22" s="89">
        <f t="shared" ref="R22:AC22" si="7">R10+R21</f>
        <v>396</v>
      </c>
      <c r="S22" s="89">
        <f t="shared" si="7"/>
        <v>855</v>
      </c>
      <c r="T22" s="89">
        <f t="shared" si="7"/>
        <v>870</v>
      </c>
      <c r="U22" s="89">
        <f t="shared" si="7"/>
        <v>203</v>
      </c>
      <c r="V22" s="89">
        <f t="shared" si="7"/>
        <v>1901</v>
      </c>
      <c r="W22" s="89">
        <f t="shared" si="7"/>
        <v>801</v>
      </c>
      <c r="X22" s="89">
        <f t="shared" si="7"/>
        <v>1355</v>
      </c>
      <c r="Y22" s="89">
        <f t="shared" si="7"/>
        <v>1436</v>
      </c>
      <c r="Z22" s="89">
        <f t="shared" si="7"/>
        <v>308</v>
      </c>
      <c r="AA22" s="89">
        <f t="shared" si="7"/>
        <v>789</v>
      </c>
      <c r="AB22" s="89">
        <f t="shared" si="7"/>
        <v>198</v>
      </c>
      <c r="AC22" s="89">
        <f t="shared" si="7"/>
        <v>656</v>
      </c>
    </row>
    <row r="23" ht="15.75" customHeight="1">
      <c r="A23" s="80" t="s">
        <v>108</v>
      </c>
      <c r="B23" s="76">
        <f t="shared" si="8"/>
        <v>0</v>
      </c>
      <c r="C23" s="76">
        <v>0.0</v>
      </c>
      <c r="D23" s="75">
        <v>0.0</v>
      </c>
      <c r="E23" s="75">
        <v>0.0</v>
      </c>
      <c r="F23" s="76">
        <v>0.0</v>
      </c>
      <c r="G23" s="75">
        <v>0.0</v>
      </c>
      <c r="H23" s="75">
        <v>0.0</v>
      </c>
      <c r="I23" s="76">
        <v>70.0</v>
      </c>
      <c r="J23" s="76">
        <v>0.0</v>
      </c>
      <c r="K23" s="76">
        <v>50.0</v>
      </c>
      <c r="L23" s="79">
        <v>0.0</v>
      </c>
      <c r="M23" s="76">
        <v>963.0</v>
      </c>
      <c r="N23" s="75">
        <v>0.0</v>
      </c>
      <c r="O23" s="73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</row>
    <row r="24" ht="15.75" customHeight="1">
      <c r="A24" s="78" t="str">
        <f t="shared" ref="A24:B24" si="9">A8</f>
        <v>SM - BoA CC (0% May '26): $17750+$14750K+$4K</v>
      </c>
      <c r="B24" s="79">
        <f t="shared" si="9"/>
        <v>31000</v>
      </c>
      <c r="C24" s="76">
        <v>2507.0</v>
      </c>
      <c r="D24" s="76">
        <v>460.0</v>
      </c>
      <c r="E24" s="76">
        <v>375.0</v>
      </c>
      <c r="F24" s="76">
        <v>375.0</v>
      </c>
      <c r="G24" s="76">
        <v>375.0</v>
      </c>
      <c r="H24" s="76">
        <v>375.0</v>
      </c>
      <c r="I24" s="76">
        <v>1000.0</v>
      </c>
      <c r="J24" s="76">
        <v>1000.0</v>
      </c>
      <c r="K24" s="76">
        <v>1000.0</v>
      </c>
      <c r="L24" s="76">
        <v>1000.0</v>
      </c>
      <c r="M24" s="76">
        <v>500.0</v>
      </c>
      <c r="N24" s="76">
        <v>500.0</v>
      </c>
      <c r="O24" s="73"/>
      <c r="P24" s="91" t="s">
        <v>109</v>
      </c>
      <c r="Q24" s="92">
        <v>2250.0</v>
      </c>
      <c r="R24" s="92">
        <v>3019.0</v>
      </c>
      <c r="S24" s="92">
        <v>3136.0</v>
      </c>
      <c r="T24" s="92">
        <v>2995.0</v>
      </c>
      <c r="U24" s="92">
        <v>3137.0</v>
      </c>
      <c r="V24" s="92">
        <v>2948.0</v>
      </c>
      <c r="W24" s="92">
        <v>2948.0</v>
      </c>
      <c r="X24" s="92">
        <v>2948.0</v>
      </c>
      <c r="Y24" s="92">
        <v>2948.0</v>
      </c>
      <c r="Z24" s="92">
        <v>2948.0</v>
      </c>
      <c r="AA24" s="92">
        <v>2950.0</v>
      </c>
      <c r="AB24" s="92">
        <v>2950.0</v>
      </c>
      <c r="AC24" s="92">
        <v>2950.0</v>
      </c>
    </row>
    <row r="25" ht="15.75" customHeight="1">
      <c r="A25" s="78" t="str">
        <f t="shared" ref="A25:B25" si="10">A9</f>
        <v>SM - USB HELOC: $13K SKMP CC + $7K (7.5%)</v>
      </c>
      <c r="B25" s="79">
        <f t="shared" si="10"/>
        <v>19326</v>
      </c>
      <c r="C25" s="75">
        <v>250.0</v>
      </c>
      <c r="D25" s="76">
        <v>750.0</v>
      </c>
      <c r="E25" s="76">
        <v>500.0</v>
      </c>
      <c r="F25" s="76">
        <v>250.0</v>
      </c>
      <c r="G25" s="76">
        <v>250.0</v>
      </c>
      <c r="H25" s="76">
        <v>500.0</v>
      </c>
      <c r="I25" s="76">
        <v>0.0</v>
      </c>
      <c r="J25" s="76">
        <v>0.0</v>
      </c>
      <c r="K25" s="76">
        <v>0.0</v>
      </c>
      <c r="L25" s="76">
        <v>0.0</v>
      </c>
      <c r="M25" s="76">
        <v>0.0</v>
      </c>
      <c r="N25" s="76">
        <v>0.0</v>
      </c>
      <c r="O25" s="73"/>
      <c r="P25" s="93"/>
      <c r="Q25" s="93"/>
      <c r="R25" s="94"/>
      <c r="S25" s="94"/>
      <c r="T25" s="94"/>
      <c r="U25" s="93"/>
      <c r="V25" s="93"/>
      <c r="W25" s="93"/>
      <c r="X25" s="93"/>
      <c r="Y25" s="93"/>
      <c r="Z25" s="93"/>
      <c r="AA25" s="93"/>
      <c r="AB25" s="93"/>
      <c r="AC25" s="93"/>
    </row>
    <row r="26" ht="15.75" customHeight="1">
      <c r="A26" s="78" t="s">
        <v>92</v>
      </c>
      <c r="B26" s="79">
        <v>0.0</v>
      </c>
      <c r="C26" s="75">
        <v>0.0</v>
      </c>
      <c r="D26" s="76">
        <v>355.0</v>
      </c>
      <c r="E26" s="76">
        <v>262.0</v>
      </c>
      <c r="F26" s="76">
        <v>180.0</v>
      </c>
      <c r="G26" s="75">
        <v>0.0</v>
      </c>
      <c r="H26" s="76">
        <v>27.0</v>
      </c>
      <c r="I26" s="76">
        <v>57.0</v>
      </c>
      <c r="J26" s="76">
        <v>132.0</v>
      </c>
      <c r="K26" s="76">
        <v>163.0</v>
      </c>
      <c r="L26" s="76">
        <v>108.0</v>
      </c>
      <c r="M26" s="76">
        <v>45.0</v>
      </c>
      <c r="N26" s="76">
        <v>41.0</v>
      </c>
      <c r="O26" s="73"/>
      <c r="P26" s="93" t="s">
        <v>110</v>
      </c>
      <c r="Q26" s="95">
        <v>335560.0</v>
      </c>
      <c r="R26" s="94">
        <v>1600.0</v>
      </c>
      <c r="S26" s="94">
        <v>1600.0</v>
      </c>
      <c r="T26" s="94">
        <v>1600.0</v>
      </c>
      <c r="U26" s="94">
        <v>1600.0</v>
      </c>
      <c r="V26" s="94">
        <v>1600.0</v>
      </c>
      <c r="W26" s="94">
        <v>1600.0</v>
      </c>
      <c r="X26" s="93">
        <v>1600.0</v>
      </c>
      <c r="Y26" s="93">
        <v>1600.0</v>
      </c>
      <c r="Z26" s="93">
        <v>1600.0</v>
      </c>
      <c r="AA26" s="94">
        <v>1600.0</v>
      </c>
      <c r="AB26" s="94">
        <v>1600.0</v>
      </c>
      <c r="AC26" s="93">
        <v>1600.0</v>
      </c>
    </row>
    <row r="27" ht="15.75" customHeight="1">
      <c r="A27" s="79" t="s">
        <v>93</v>
      </c>
      <c r="B27" s="79">
        <f>B11</f>
        <v>0</v>
      </c>
      <c r="C27" s="75">
        <v>0.0</v>
      </c>
      <c r="D27" s="76">
        <v>0.0</v>
      </c>
      <c r="E27" s="76">
        <v>29.0</v>
      </c>
      <c r="F27" s="76">
        <v>379.0</v>
      </c>
      <c r="G27" s="75">
        <v>0.0</v>
      </c>
      <c r="H27" s="76">
        <v>0.0</v>
      </c>
      <c r="I27" s="75">
        <v>0.0</v>
      </c>
      <c r="J27" s="75">
        <v>0.0</v>
      </c>
      <c r="K27" s="76">
        <v>5.0</v>
      </c>
      <c r="L27" s="75">
        <v>0.0</v>
      </c>
      <c r="M27" s="75">
        <v>0.0</v>
      </c>
      <c r="N27" s="75">
        <v>0.0</v>
      </c>
      <c r="O27" s="73"/>
      <c r="P27" s="93" t="s">
        <v>111</v>
      </c>
      <c r="Q27" s="93"/>
      <c r="R27" s="94">
        <v>518.0</v>
      </c>
      <c r="S27" s="96">
        <v>130.0</v>
      </c>
      <c r="T27" s="96">
        <v>150.0</v>
      </c>
      <c r="U27" s="96">
        <v>100.0</v>
      </c>
      <c r="V27" s="96">
        <v>100.0</v>
      </c>
      <c r="W27" s="96">
        <v>100.0</v>
      </c>
      <c r="X27" s="93">
        <v>0.0</v>
      </c>
      <c r="Y27" s="93">
        <v>0.0</v>
      </c>
      <c r="Z27" s="93">
        <v>0.0</v>
      </c>
      <c r="AA27" s="93">
        <v>0.0</v>
      </c>
      <c r="AB27" s="93">
        <v>0.0</v>
      </c>
      <c r="AC27" s="93">
        <v>0.0</v>
      </c>
    </row>
    <row r="28" ht="15.75" customHeight="1">
      <c r="A28" s="79" t="str">
        <f>A12</f>
        <v>SM - Amazon ($0 as of 10.24.25) </v>
      </c>
      <c r="B28" s="79">
        <v>0.0</v>
      </c>
      <c r="C28" s="75"/>
      <c r="D28" s="76"/>
      <c r="E28" s="76"/>
      <c r="F28" s="76"/>
      <c r="G28" s="75"/>
      <c r="H28" s="76">
        <v>510.0</v>
      </c>
      <c r="I28" s="76">
        <v>101.0</v>
      </c>
      <c r="J28" s="76">
        <v>142.0</v>
      </c>
      <c r="K28" s="78"/>
      <c r="L28" s="78"/>
      <c r="M28" s="79"/>
      <c r="N28" s="78"/>
      <c r="O28" s="73"/>
      <c r="P28" s="93"/>
      <c r="Q28" s="93"/>
      <c r="R28" s="94"/>
      <c r="S28" s="96"/>
      <c r="T28" s="96"/>
      <c r="U28" s="94"/>
      <c r="V28" s="94"/>
      <c r="W28" s="93"/>
      <c r="X28" s="93"/>
      <c r="Y28" s="93"/>
      <c r="Z28" s="93"/>
      <c r="AA28" s="93"/>
      <c r="AB28" s="93"/>
      <c r="AC28" s="93"/>
    </row>
    <row r="29" ht="15.75" customHeight="1">
      <c r="A29" s="79" t="s">
        <v>112</v>
      </c>
      <c r="B29" s="78">
        <v>0.0</v>
      </c>
      <c r="C29" s="75">
        <v>250.0</v>
      </c>
      <c r="D29" s="75">
        <v>250.0</v>
      </c>
      <c r="E29" s="76">
        <v>0.0</v>
      </c>
      <c r="F29" s="75">
        <v>250.0</v>
      </c>
      <c r="G29" s="75">
        <v>250.0</v>
      </c>
      <c r="H29" s="75">
        <v>250.0</v>
      </c>
      <c r="I29" s="76">
        <v>0.0</v>
      </c>
      <c r="J29" s="76">
        <v>373.0</v>
      </c>
      <c r="K29" s="76">
        <v>300.0</v>
      </c>
      <c r="L29" s="76">
        <v>300.0</v>
      </c>
      <c r="M29" s="76">
        <v>375.0</v>
      </c>
      <c r="N29" s="76">
        <v>375.0</v>
      </c>
      <c r="O29" s="73"/>
      <c r="P29" s="95" t="s">
        <v>113</v>
      </c>
      <c r="Q29" s="93"/>
      <c r="R29" s="94">
        <v>48.0</v>
      </c>
      <c r="S29" s="96">
        <v>109.0</v>
      </c>
      <c r="T29" s="96">
        <v>56.0</v>
      </c>
      <c r="U29" s="96">
        <v>56.0</v>
      </c>
      <c r="V29" s="96">
        <v>56.0</v>
      </c>
      <c r="W29" s="95">
        <v>56.0</v>
      </c>
      <c r="X29" s="95">
        <v>56.0</v>
      </c>
      <c r="Y29" s="95">
        <v>56.0</v>
      </c>
      <c r="Z29" s="95">
        <v>56.0</v>
      </c>
      <c r="AA29" s="96">
        <v>56.0</v>
      </c>
      <c r="AB29" s="96">
        <v>56.0</v>
      </c>
      <c r="AC29" s="95">
        <v>56.0</v>
      </c>
    </row>
    <row r="30" ht="15.75" customHeight="1">
      <c r="A30" s="75" t="s">
        <v>114</v>
      </c>
      <c r="B30" s="78">
        <v>0.0</v>
      </c>
      <c r="C30" s="75">
        <v>0.0</v>
      </c>
      <c r="D30" s="76">
        <v>249.0</v>
      </c>
      <c r="E30" s="76">
        <v>250.0</v>
      </c>
      <c r="F30" s="76">
        <v>147.0</v>
      </c>
      <c r="G30" s="76">
        <v>42.0</v>
      </c>
      <c r="H30" s="76">
        <v>46.0</v>
      </c>
      <c r="I30" s="76">
        <v>0.0</v>
      </c>
      <c r="J30" s="76">
        <v>527.0</v>
      </c>
      <c r="K30" s="76">
        <v>10.0</v>
      </c>
      <c r="L30" s="76">
        <v>60.0</v>
      </c>
      <c r="M30" s="75">
        <v>0.0</v>
      </c>
      <c r="N30" s="75">
        <v>0.0</v>
      </c>
      <c r="O30" s="73"/>
      <c r="P30" s="95" t="s">
        <v>115</v>
      </c>
      <c r="Q30" s="93"/>
      <c r="R30" s="96">
        <v>0.0</v>
      </c>
      <c r="S30" s="96">
        <v>0.0</v>
      </c>
      <c r="T30" s="96">
        <v>0.0</v>
      </c>
      <c r="U30" s="96">
        <v>0.0</v>
      </c>
      <c r="V30" s="96">
        <v>350.0</v>
      </c>
      <c r="W30" s="95">
        <v>0.0</v>
      </c>
      <c r="X30" s="95">
        <v>0.0</v>
      </c>
      <c r="Y30" s="95">
        <v>0.0</v>
      </c>
      <c r="Z30" s="95">
        <v>100.0</v>
      </c>
      <c r="AA30" s="96">
        <v>0.0</v>
      </c>
      <c r="AB30" s="95">
        <v>0.0</v>
      </c>
      <c r="AC30" s="95">
        <v>0.0</v>
      </c>
    </row>
    <row r="31" ht="15.75" customHeight="1">
      <c r="A31" s="78" t="s">
        <v>116</v>
      </c>
      <c r="B31" s="78">
        <f>B15</f>
        <v>663489</v>
      </c>
      <c r="C31" s="75">
        <f t="shared" ref="C31:N31" si="11">Sum(C19:C30)</f>
        <v>4673</v>
      </c>
      <c r="D31" s="75">
        <f t="shared" si="11"/>
        <v>4440</v>
      </c>
      <c r="E31" s="75">
        <f t="shared" si="11"/>
        <v>4484</v>
      </c>
      <c r="F31" s="75">
        <f t="shared" si="11"/>
        <v>4451</v>
      </c>
      <c r="G31" s="75">
        <f t="shared" si="11"/>
        <v>4245</v>
      </c>
      <c r="H31" s="75">
        <f t="shared" si="11"/>
        <v>4750</v>
      </c>
      <c r="I31" s="75">
        <f t="shared" si="11"/>
        <v>4548</v>
      </c>
      <c r="J31" s="75">
        <f t="shared" si="11"/>
        <v>4055</v>
      </c>
      <c r="K31" s="75">
        <f t="shared" si="11"/>
        <v>4353</v>
      </c>
      <c r="L31" s="75">
        <f t="shared" si="11"/>
        <v>4310</v>
      </c>
      <c r="M31" s="75">
        <f t="shared" si="11"/>
        <v>3992</v>
      </c>
      <c r="N31" s="75">
        <f t="shared" si="11"/>
        <v>4045</v>
      </c>
      <c r="O31" s="73"/>
      <c r="P31" s="94" t="s">
        <v>117</v>
      </c>
      <c r="Q31" s="95">
        <v>5000.0</v>
      </c>
      <c r="R31" s="96">
        <v>665.0</v>
      </c>
      <c r="S31" s="96">
        <v>1250.0</v>
      </c>
      <c r="T31" s="96">
        <v>1000.0</v>
      </c>
      <c r="U31" s="96">
        <v>1250.0</v>
      </c>
      <c r="V31" s="96">
        <v>1250.0</v>
      </c>
      <c r="W31" s="95">
        <v>1000.0</v>
      </c>
      <c r="X31" s="95">
        <v>1250.0</v>
      </c>
      <c r="Y31" s="95">
        <v>1000.0</v>
      </c>
      <c r="Z31" s="95">
        <v>420.0</v>
      </c>
      <c r="AA31" s="96">
        <v>1000.0</v>
      </c>
      <c r="AB31" s="96">
        <v>1000.0</v>
      </c>
      <c r="AC31" s="95">
        <v>1000.0</v>
      </c>
    </row>
    <row r="32" ht="15.75" customHeight="1">
      <c r="A32" s="87" t="s">
        <v>73</v>
      </c>
      <c r="B32" s="97"/>
      <c r="C32" s="87">
        <f t="shared" ref="C32:N32" si="12">C18-C31</f>
        <v>101</v>
      </c>
      <c r="D32" s="87">
        <f t="shared" si="12"/>
        <v>221</v>
      </c>
      <c r="E32" s="87">
        <f t="shared" si="12"/>
        <v>31</v>
      </c>
      <c r="F32" s="87">
        <f t="shared" si="12"/>
        <v>96</v>
      </c>
      <c r="G32" s="87">
        <f t="shared" si="12"/>
        <v>198</v>
      </c>
      <c r="H32" s="87">
        <f t="shared" si="12"/>
        <v>195</v>
      </c>
      <c r="I32" s="87">
        <f t="shared" si="12"/>
        <v>272</v>
      </c>
      <c r="J32" s="87">
        <f t="shared" si="12"/>
        <v>383</v>
      </c>
      <c r="K32" s="87">
        <f t="shared" si="12"/>
        <v>68</v>
      </c>
      <c r="L32" s="97">
        <f t="shared" si="12"/>
        <v>174</v>
      </c>
      <c r="M32" s="87">
        <f t="shared" si="12"/>
        <v>323</v>
      </c>
      <c r="N32" s="87">
        <f t="shared" si="12"/>
        <v>326</v>
      </c>
      <c r="O32" s="73"/>
      <c r="P32" s="93"/>
      <c r="Q32" s="93"/>
      <c r="R32" s="93"/>
      <c r="S32" s="93"/>
      <c r="T32" s="93"/>
      <c r="U32" s="93"/>
      <c r="V32" s="94"/>
      <c r="W32" s="93"/>
      <c r="X32" s="93"/>
      <c r="Y32" s="93"/>
      <c r="Z32" s="93"/>
      <c r="AA32" s="93"/>
      <c r="AB32" s="93"/>
      <c r="AC32" s="93"/>
    </row>
    <row r="33" ht="15.75" customHeight="1">
      <c r="A33" s="72" t="s">
        <v>118</v>
      </c>
      <c r="B33" s="72"/>
      <c r="C33" s="89">
        <f t="shared" ref="C33:N33" si="13">C15+C31</f>
        <v>8477</v>
      </c>
      <c r="D33" s="89">
        <f t="shared" si="13"/>
        <v>8515</v>
      </c>
      <c r="E33" s="89">
        <f t="shared" si="13"/>
        <v>9032</v>
      </c>
      <c r="F33" s="89">
        <f t="shared" si="13"/>
        <v>8874</v>
      </c>
      <c r="G33" s="89">
        <f t="shared" si="13"/>
        <v>8577</v>
      </c>
      <c r="H33" s="89">
        <f t="shared" si="13"/>
        <v>10918</v>
      </c>
      <c r="I33" s="89">
        <f t="shared" si="13"/>
        <v>8505</v>
      </c>
      <c r="J33" s="89">
        <f t="shared" si="13"/>
        <v>8544</v>
      </c>
      <c r="K33" s="89">
        <f t="shared" si="13"/>
        <v>9183</v>
      </c>
      <c r="L33" s="89">
        <f t="shared" si="13"/>
        <v>8707</v>
      </c>
      <c r="M33" s="89">
        <f t="shared" si="13"/>
        <v>8186</v>
      </c>
      <c r="N33" s="89">
        <f t="shared" si="13"/>
        <v>8536</v>
      </c>
      <c r="O33" s="73"/>
      <c r="P33" s="93" t="s">
        <v>119</v>
      </c>
      <c r="Q33" s="93">
        <f>Sum(Q27:Q31)</f>
        <v>5000</v>
      </c>
      <c r="R33" s="94">
        <f t="shared" ref="R33:AC33" si="14">Sum(R26:R32)</f>
        <v>2831</v>
      </c>
      <c r="S33" s="94">
        <f t="shared" si="14"/>
        <v>3089</v>
      </c>
      <c r="T33" s="94">
        <f t="shared" si="14"/>
        <v>2806</v>
      </c>
      <c r="U33" s="94">
        <f t="shared" si="14"/>
        <v>3006</v>
      </c>
      <c r="V33" s="94">
        <f t="shared" si="14"/>
        <v>3356</v>
      </c>
      <c r="W33" s="93">
        <f t="shared" si="14"/>
        <v>2756</v>
      </c>
      <c r="X33" s="93">
        <f t="shared" si="14"/>
        <v>2906</v>
      </c>
      <c r="Y33" s="93">
        <f t="shared" si="14"/>
        <v>2656</v>
      </c>
      <c r="Z33" s="93">
        <f t="shared" si="14"/>
        <v>2176</v>
      </c>
      <c r="AA33" s="93">
        <f t="shared" si="14"/>
        <v>2656</v>
      </c>
      <c r="AB33" s="93">
        <f t="shared" si="14"/>
        <v>2656</v>
      </c>
      <c r="AC33" s="93">
        <f t="shared" si="14"/>
        <v>2656</v>
      </c>
    </row>
    <row r="34" ht="15.75" customHeight="1">
      <c r="A34" s="98" t="s">
        <v>120</v>
      </c>
      <c r="B34" s="99"/>
      <c r="C34" s="99">
        <f t="shared" ref="C34:N34" si="15">C16+C32</f>
        <v>630</v>
      </c>
      <c r="D34" s="99">
        <f t="shared" si="15"/>
        <v>563</v>
      </c>
      <c r="E34" s="99">
        <f t="shared" si="15"/>
        <v>48</v>
      </c>
      <c r="F34" s="99">
        <f t="shared" si="15"/>
        <v>373</v>
      </c>
      <c r="G34" s="99">
        <f t="shared" si="15"/>
        <v>329</v>
      </c>
      <c r="H34" s="99">
        <f t="shared" si="15"/>
        <v>600</v>
      </c>
      <c r="I34" s="99">
        <f t="shared" si="15"/>
        <v>828</v>
      </c>
      <c r="J34" s="99">
        <f t="shared" si="15"/>
        <v>419</v>
      </c>
      <c r="K34" s="99">
        <f t="shared" si="15"/>
        <v>213</v>
      </c>
      <c r="L34" s="99">
        <f t="shared" si="15"/>
        <v>315</v>
      </c>
      <c r="M34" s="99">
        <f t="shared" si="15"/>
        <v>530</v>
      </c>
      <c r="N34" s="99">
        <f t="shared" si="15"/>
        <v>362</v>
      </c>
      <c r="O34" s="73"/>
      <c r="P34" s="94" t="s">
        <v>35</v>
      </c>
      <c r="Q34" s="94"/>
      <c r="R34" s="94">
        <f t="shared" ref="R34:AC34" si="16">R24-R33</f>
        <v>188</v>
      </c>
      <c r="S34" s="94">
        <f t="shared" si="16"/>
        <v>47</v>
      </c>
      <c r="T34" s="94">
        <f t="shared" si="16"/>
        <v>189</v>
      </c>
      <c r="U34" s="94">
        <f t="shared" si="16"/>
        <v>131</v>
      </c>
      <c r="V34" s="94">
        <f t="shared" si="16"/>
        <v>-408</v>
      </c>
      <c r="W34" s="94">
        <f t="shared" si="16"/>
        <v>192</v>
      </c>
      <c r="X34" s="94">
        <f t="shared" si="16"/>
        <v>42</v>
      </c>
      <c r="Y34" s="94">
        <f t="shared" si="16"/>
        <v>292</v>
      </c>
      <c r="Z34" s="94">
        <f t="shared" si="16"/>
        <v>772</v>
      </c>
      <c r="AA34" s="94">
        <f t="shared" si="16"/>
        <v>294</v>
      </c>
      <c r="AB34" s="94">
        <f t="shared" si="16"/>
        <v>294</v>
      </c>
      <c r="AC34" s="94">
        <f t="shared" si="16"/>
        <v>294</v>
      </c>
    </row>
    <row r="35" ht="15.75" customHeight="1"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</row>
    <row r="36" ht="15.75" customHeight="1">
      <c r="A36" s="100" t="s">
        <v>121</v>
      </c>
      <c r="G36" s="100">
        <v>108.0</v>
      </c>
      <c r="P36" s="101" t="s">
        <v>122</v>
      </c>
      <c r="Q36" s="102">
        <f>SUM(Q37:Q38)</f>
        <v>119770</v>
      </c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</row>
    <row r="37" ht="15.75" customHeight="1">
      <c r="A37" s="100" t="s">
        <v>123</v>
      </c>
      <c r="G37" s="100">
        <v>60.17</v>
      </c>
      <c r="P37" s="103" t="s">
        <v>124</v>
      </c>
      <c r="Q37" s="103">
        <v>58371.0</v>
      </c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</row>
    <row r="38" ht="15.75" customHeight="1">
      <c r="A38" s="100" t="s">
        <v>125</v>
      </c>
      <c r="P38" s="103" t="s">
        <v>126</v>
      </c>
      <c r="Q38" s="103">
        <v>61399.0</v>
      </c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</row>
    <row r="39" ht="15.75" customHeight="1"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</row>
    <row r="40" ht="15.75" customHeight="1">
      <c r="A40" s="104" t="s">
        <v>127</v>
      </c>
      <c r="B40" s="105"/>
      <c r="C40" s="104" t="s">
        <v>0</v>
      </c>
      <c r="D40" s="104" t="s">
        <v>1</v>
      </c>
      <c r="E40" s="104" t="s">
        <v>2</v>
      </c>
      <c r="F40" s="104" t="s">
        <v>3</v>
      </c>
      <c r="G40" s="104" t="s">
        <v>4</v>
      </c>
      <c r="H40" s="104" t="s">
        <v>5</v>
      </c>
      <c r="I40" s="104" t="s">
        <v>6</v>
      </c>
      <c r="J40" s="104" t="s">
        <v>7</v>
      </c>
      <c r="K40" s="104" t="s">
        <v>8</v>
      </c>
      <c r="L40" s="104" t="s">
        <v>9</v>
      </c>
      <c r="M40" s="104" t="s">
        <v>10</v>
      </c>
      <c r="N40" s="104" t="s">
        <v>11</v>
      </c>
      <c r="P40" s="106"/>
      <c r="Q40" s="106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</row>
    <row r="41" ht="15.75" customHeight="1">
      <c r="A41" s="107" t="s">
        <v>128</v>
      </c>
      <c r="B41" s="104">
        <v>0.0</v>
      </c>
      <c r="C41" s="104">
        <v>0.0</v>
      </c>
      <c r="D41" s="107">
        <v>0.0</v>
      </c>
      <c r="E41" s="107">
        <v>0.0</v>
      </c>
      <c r="F41" s="107">
        <v>0.0</v>
      </c>
      <c r="G41" s="108"/>
      <c r="H41" s="108"/>
      <c r="I41" s="108"/>
      <c r="J41" s="108"/>
      <c r="K41" s="108"/>
      <c r="L41" s="108"/>
      <c r="M41" s="108"/>
      <c r="N41" s="108"/>
      <c r="O41" s="35"/>
    </row>
    <row r="42" ht="15.75" customHeight="1">
      <c r="A42" s="109" t="s">
        <v>129</v>
      </c>
      <c r="B42" s="110">
        <v>2431.0</v>
      </c>
      <c r="C42" s="110">
        <v>0.0</v>
      </c>
      <c r="D42" s="109">
        <v>0.0</v>
      </c>
      <c r="E42" s="109">
        <v>0.0</v>
      </c>
      <c r="F42" s="109">
        <v>500.0</v>
      </c>
      <c r="G42" s="109">
        <v>1000.0</v>
      </c>
      <c r="H42" s="111"/>
      <c r="I42" s="111"/>
      <c r="J42" s="111"/>
      <c r="K42" s="111"/>
      <c r="L42" s="112"/>
      <c r="M42" s="112"/>
      <c r="N42" s="112"/>
      <c r="O42" s="35"/>
    </row>
    <row r="43" ht="15.75" customHeight="1">
      <c r="A43" s="107" t="s">
        <v>130</v>
      </c>
      <c r="B43" s="104">
        <v>0.0</v>
      </c>
      <c r="C43" s="108"/>
      <c r="D43" s="108"/>
      <c r="E43" s="108"/>
      <c r="F43" s="104">
        <v>320.0</v>
      </c>
      <c r="G43" s="108"/>
      <c r="H43" s="108"/>
      <c r="I43" s="108"/>
      <c r="J43" s="108"/>
      <c r="K43" s="108"/>
      <c r="L43" s="108"/>
      <c r="M43" s="108"/>
      <c r="N43" s="108"/>
      <c r="O43" s="35"/>
    </row>
    <row r="44" ht="15.75" customHeight="1"/>
    <row r="45" ht="15.75" customHeight="1">
      <c r="A45" s="113" t="s">
        <v>131</v>
      </c>
      <c r="B45" s="113">
        <v>1000.0</v>
      </c>
      <c r="C45" s="114"/>
      <c r="D45" s="114"/>
      <c r="E45" s="114"/>
      <c r="F45" s="113">
        <v>846.24</v>
      </c>
      <c r="G45" s="114"/>
      <c r="H45" s="114"/>
      <c r="I45" s="114"/>
      <c r="J45" s="114"/>
      <c r="K45" s="114"/>
      <c r="L45" s="114"/>
      <c r="M45" s="114"/>
      <c r="N45" s="114"/>
    </row>
    <row r="46" ht="15.75" customHeight="1">
      <c r="A46" s="115" t="s">
        <v>132</v>
      </c>
      <c r="B46" s="115">
        <v>464.17</v>
      </c>
      <c r="C46" s="114"/>
      <c r="D46" s="114"/>
      <c r="E46" s="114"/>
      <c r="F46" s="114"/>
      <c r="G46" s="114"/>
      <c r="H46" s="114"/>
      <c r="I46" s="114"/>
      <c r="J46" s="114"/>
      <c r="K46" s="114"/>
      <c r="L46" s="114"/>
      <c r="M46" s="114"/>
      <c r="N46" s="114"/>
    </row>
    <row r="47" ht="15.75" customHeight="1">
      <c r="A47" s="38" t="s">
        <v>41</v>
      </c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106"/>
      <c r="M47" s="106"/>
      <c r="N47" s="106"/>
    </row>
    <row r="48" ht="15.75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</row>
    <row r="49" ht="15.75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>
      <c r="A55" s="116" t="s">
        <v>133</v>
      </c>
      <c r="C55" s="116" t="s">
        <v>0</v>
      </c>
      <c r="D55" s="116" t="s">
        <v>1</v>
      </c>
      <c r="E55" s="116" t="s">
        <v>2</v>
      </c>
      <c r="F55" s="116" t="s">
        <v>3</v>
      </c>
      <c r="G55" s="116" t="s">
        <v>4</v>
      </c>
      <c r="H55" s="116" t="s">
        <v>5</v>
      </c>
      <c r="I55" s="116" t="s">
        <v>6</v>
      </c>
      <c r="J55" s="116" t="s">
        <v>7</v>
      </c>
      <c r="K55" s="116" t="s">
        <v>8</v>
      </c>
      <c r="L55" s="116" t="s">
        <v>9</v>
      </c>
      <c r="M55" s="116" t="s">
        <v>10</v>
      </c>
      <c r="N55" s="116" t="s">
        <v>11</v>
      </c>
    </row>
    <row r="56" ht="15.75" customHeight="1">
      <c r="A56" s="107" t="s">
        <v>134</v>
      </c>
      <c r="B56" s="104">
        <v>0.0</v>
      </c>
      <c r="C56" s="104">
        <v>1381.61</v>
      </c>
      <c r="D56" s="104">
        <v>0.0</v>
      </c>
      <c r="E56" s="104">
        <v>0.0</v>
      </c>
      <c r="F56" s="104">
        <v>0.0</v>
      </c>
      <c r="G56" s="104">
        <v>0.0</v>
      </c>
      <c r="H56" s="104">
        <v>0.0</v>
      </c>
      <c r="I56" s="104">
        <v>0.0</v>
      </c>
      <c r="J56" s="104">
        <v>0.0</v>
      </c>
      <c r="K56" s="104">
        <v>0.0</v>
      </c>
      <c r="L56" s="104">
        <v>0.0</v>
      </c>
      <c r="M56" s="104">
        <v>0.0</v>
      </c>
      <c r="N56" s="104">
        <v>0.0</v>
      </c>
    </row>
    <row r="57" ht="15.75" customHeight="1">
      <c r="A57" s="109" t="s">
        <v>135</v>
      </c>
      <c r="B57" s="110">
        <v>700.0</v>
      </c>
      <c r="C57" s="110">
        <v>0.0</v>
      </c>
      <c r="D57" s="110">
        <v>0.0</v>
      </c>
      <c r="E57" s="110">
        <v>50.0</v>
      </c>
      <c r="F57" s="109">
        <v>0.0</v>
      </c>
      <c r="G57" s="110">
        <v>50.0</v>
      </c>
      <c r="H57" s="111"/>
      <c r="I57" s="111"/>
      <c r="J57" s="111"/>
      <c r="K57" s="111"/>
      <c r="L57" s="112"/>
      <c r="M57" s="112"/>
      <c r="N57" s="112"/>
    </row>
    <row r="58" ht="15.75" customHeight="1">
      <c r="A58" s="107" t="s">
        <v>136</v>
      </c>
      <c r="B58" s="104">
        <v>423.0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>
      <c r="B65" s="117">
        <v>45884.0</v>
      </c>
      <c r="C65" s="116" t="s">
        <v>137</v>
      </c>
      <c r="Q65" s="116" t="s">
        <v>138</v>
      </c>
    </row>
    <row r="66" ht="15.75" customHeight="1">
      <c r="B66" s="116">
        <v>4465.0</v>
      </c>
      <c r="C66" s="116">
        <v>4550.0</v>
      </c>
      <c r="Q66" s="116">
        <v>2554.0</v>
      </c>
    </row>
    <row r="67" ht="15.75" customHeight="1">
      <c r="B67" s="116">
        <v>126.0</v>
      </c>
      <c r="C67" s="116">
        <v>238.0</v>
      </c>
      <c r="Q67" s="116">
        <v>250.0</v>
      </c>
    </row>
    <row r="68" ht="15.75" customHeight="1">
      <c r="B68" s="116">
        <v>150.0</v>
      </c>
      <c r="C68" s="116">
        <v>190.0</v>
      </c>
      <c r="Q68" s="116">
        <v>250.0</v>
      </c>
    </row>
    <row r="69" ht="15.75" customHeight="1">
      <c r="B69" s="116">
        <v>27.0</v>
      </c>
      <c r="C69" s="116">
        <v>63.0</v>
      </c>
      <c r="Q69" s="116">
        <v>300.0</v>
      </c>
    </row>
    <row r="70" ht="15.75" customHeight="1">
      <c r="B70" s="116">
        <v>300.0</v>
      </c>
      <c r="C70" s="116">
        <v>595.0</v>
      </c>
      <c r="D70" s="100">
        <v>596.05</v>
      </c>
      <c r="Q70" s="116">
        <v>623.0</v>
      </c>
    </row>
    <row r="71" ht="15.75" customHeight="1">
      <c r="B71" s="116">
        <v>1500.0</v>
      </c>
      <c r="C71" s="116">
        <v>173.0</v>
      </c>
      <c r="Q71" s="116">
        <v>60.0</v>
      </c>
    </row>
    <row r="72" ht="15.75" customHeight="1">
      <c r="B72" s="116">
        <v>1625.0</v>
      </c>
      <c r="C72" s="116">
        <v>2650.0</v>
      </c>
      <c r="Q72" s="116">
        <v>1006.0</v>
      </c>
    </row>
    <row r="73" ht="15.75" customHeight="1">
      <c r="B73" s="116">
        <v>237.0</v>
      </c>
      <c r="C73" s="116">
        <v>125.0</v>
      </c>
    </row>
    <row r="74" ht="15.75" customHeight="1">
      <c r="B74" s="116">
        <v>13.0</v>
      </c>
      <c r="C74" s="116">
        <v>100.0</v>
      </c>
      <c r="P74" s="100" t="s">
        <v>139</v>
      </c>
      <c r="Q74" s="118">
        <f>Sum(Q67:Q73)</f>
        <v>2489</v>
      </c>
    </row>
    <row r="75" ht="15.75" customHeight="1">
      <c r="B75" s="116">
        <v>14.0</v>
      </c>
      <c r="C75" s="116">
        <v>276.0</v>
      </c>
      <c r="P75" s="100" t="s">
        <v>73</v>
      </c>
      <c r="Q75" s="118">
        <f>Q66-Q74</f>
        <v>65</v>
      </c>
    </row>
    <row r="76" ht="15.75" customHeight="1"/>
    <row r="77" ht="15.75" customHeight="1"/>
    <row r="78" ht="15.75" customHeight="1"/>
    <row r="79" ht="15.75" customHeight="1"/>
    <row r="80" ht="15.75" customHeight="1">
      <c r="B80" s="118">
        <f t="shared" ref="B80:C80" si="17">Sum(B67:B79)</f>
        <v>3992</v>
      </c>
      <c r="C80" s="118">
        <f t="shared" si="17"/>
        <v>4410</v>
      </c>
    </row>
    <row r="81" ht="15.75" customHeight="1">
      <c r="B81" s="118">
        <f t="shared" ref="B81:C81" si="18">B66-B80</f>
        <v>473</v>
      </c>
      <c r="C81" s="118">
        <f t="shared" si="18"/>
        <v>140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7.88"/>
    <col customWidth="1" min="2" max="2" width="6.5"/>
    <col customWidth="1" min="3" max="3" width="7.63"/>
    <col customWidth="1" min="4" max="14" width="4.75"/>
    <col customWidth="1" min="15" max="15" width="1.63"/>
    <col customWidth="1" min="16" max="16" width="38.75"/>
    <col customWidth="1" min="17" max="17" width="8.0"/>
    <col customWidth="1" min="18" max="18" width="9.88"/>
    <col customWidth="1" min="19" max="19" width="8.75"/>
    <col customWidth="1" min="20" max="21" width="7.0"/>
    <col customWidth="1" min="22" max="22" width="4.75"/>
    <col customWidth="1" min="23" max="23" width="6.13"/>
    <col customWidth="1" min="24" max="24" width="4.75"/>
    <col customWidth="1" min="25" max="25" width="5.63"/>
    <col customWidth="1" min="26" max="29" width="4.75"/>
    <col customWidth="1" min="30" max="32" width="3.63"/>
  </cols>
  <sheetData>
    <row r="1" ht="15.75" customHeight="1">
      <c r="A1" s="119">
        <v>2024.0</v>
      </c>
      <c r="B1" s="120"/>
      <c r="C1" s="120" t="s">
        <v>0</v>
      </c>
      <c r="D1" s="120" t="s">
        <v>1</v>
      </c>
      <c r="E1" s="120" t="s">
        <v>2</v>
      </c>
      <c r="F1" s="120" t="s">
        <v>3</v>
      </c>
      <c r="G1" s="120" t="s">
        <v>4</v>
      </c>
      <c r="H1" s="120" t="s">
        <v>5</v>
      </c>
      <c r="I1" s="120" t="s">
        <v>6</v>
      </c>
      <c r="J1" s="120" t="s">
        <v>7</v>
      </c>
      <c r="K1" s="120" t="s">
        <v>8</v>
      </c>
      <c r="L1" s="120" t="s">
        <v>9</v>
      </c>
      <c r="M1" s="120" t="s">
        <v>10</v>
      </c>
      <c r="N1" s="120" t="s">
        <v>11</v>
      </c>
      <c r="P1" s="121">
        <v>2024.0</v>
      </c>
      <c r="Q1" s="122"/>
      <c r="R1" s="122" t="s">
        <v>0</v>
      </c>
      <c r="S1" s="122" t="s">
        <v>1</v>
      </c>
      <c r="T1" s="122" t="s">
        <v>2</v>
      </c>
      <c r="U1" s="122" t="s">
        <v>3</v>
      </c>
      <c r="V1" s="122" t="s">
        <v>4</v>
      </c>
      <c r="W1" s="122" t="s">
        <v>5</v>
      </c>
      <c r="X1" s="122" t="s">
        <v>6</v>
      </c>
      <c r="Y1" s="122" t="s">
        <v>7</v>
      </c>
      <c r="Z1" s="122" t="s">
        <v>8</v>
      </c>
      <c r="AA1" s="122" t="s">
        <v>9</v>
      </c>
      <c r="AB1" s="122" t="s">
        <v>10</v>
      </c>
      <c r="AC1" s="122" t="s">
        <v>11</v>
      </c>
    </row>
    <row r="2" ht="15.75" customHeight="1">
      <c r="A2" s="123" t="s">
        <v>140</v>
      </c>
      <c r="B2" s="124">
        <v>45639.0</v>
      </c>
      <c r="C2" s="123">
        <v>9021.0</v>
      </c>
      <c r="D2" s="123">
        <v>8840.0</v>
      </c>
      <c r="E2" s="123">
        <v>9076.0</v>
      </c>
      <c r="F2" s="123">
        <v>8630.0</v>
      </c>
      <c r="G2" s="123">
        <v>8630.0</v>
      </c>
      <c r="H2" s="123">
        <v>8888.0</v>
      </c>
      <c r="I2" s="123">
        <v>8689.0</v>
      </c>
      <c r="J2" s="123">
        <v>8888.0</v>
      </c>
      <c r="K2" s="123">
        <v>8801.0</v>
      </c>
      <c r="L2" s="123">
        <v>8835.0</v>
      </c>
      <c r="M2" s="125">
        <v>4599.0</v>
      </c>
      <c r="N2" s="123">
        <v>4804.0</v>
      </c>
      <c r="P2" s="112" t="s">
        <v>141</v>
      </c>
      <c r="Q2" s="111">
        <v>0.0</v>
      </c>
      <c r="R2" s="112">
        <v>3022.0</v>
      </c>
      <c r="S2" s="112">
        <v>3065.0</v>
      </c>
      <c r="T2" s="112">
        <v>3060.0</v>
      </c>
      <c r="U2" s="112">
        <v>1876.0</v>
      </c>
      <c r="V2" s="112">
        <v>3060.0</v>
      </c>
      <c r="W2" s="112">
        <v>3060.0</v>
      </c>
      <c r="X2" s="112">
        <v>3143.0</v>
      </c>
      <c r="Y2" s="112">
        <v>3143.0</v>
      </c>
      <c r="Z2" s="112">
        <v>4385.0</v>
      </c>
      <c r="AA2" s="112">
        <v>2360.0</v>
      </c>
      <c r="AB2" s="111">
        <v>4384.0</v>
      </c>
      <c r="AC2" s="112">
        <v>2308.0</v>
      </c>
    </row>
    <row r="3" ht="15.75" customHeight="1">
      <c r="A3" s="125" t="s">
        <v>142</v>
      </c>
      <c r="B3" s="125">
        <v>624910.0</v>
      </c>
      <c r="C3" s="123">
        <v>3250.0</v>
      </c>
      <c r="D3" s="123">
        <v>3250.0</v>
      </c>
      <c r="E3" s="123">
        <v>3250.0</v>
      </c>
      <c r="F3" s="123">
        <v>3250.0</v>
      </c>
      <c r="G3" s="123">
        <v>1625.0</v>
      </c>
      <c r="H3" s="123">
        <v>3250.0</v>
      </c>
      <c r="I3" s="123">
        <v>3250.0</v>
      </c>
      <c r="J3" s="123">
        <v>3250.0</v>
      </c>
      <c r="K3" s="123">
        <v>3250.0</v>
      </c>
      <c r="L3" s="123">
        <v>3250.0</v>
      </c>
      <c r="M3" s="123">
        <v>1625.0</v>
      </c>
      <c r="N3" s="123">
        <v>1625.0</v>
      </c>
      <c r="P3" s="111" t="s">
        <v>143</v>
      </c>
      <c r="Q3" s="111">
        <v>44975.0</v>
      </c>
      <c r="R3" s="112">
        <v>459.0</v>
      </c>
      <c r="S3" s="112">
        <v>459.0</v>
      </c>
      <c r="T3" s="112">
        <v>460.0</v>
      </c>
      <c r="U3" s="112">
        <v>576.0</v>
      </c>
      <c r="V3" s="112">
        <v>576.0</v>
      </c>
      <c r="W3" s="112">
        <v>576.0</v>
      </c>
      <c r="X3" s="112">
        <v>467.0</v>
      </c>
      <c r="Y3" s="112">
        <v>600.0</v>
      </c>
      <c r="Z3" s="112">
        <v>467.0</v>
      </c>
      <c r="AA3" s="112">
        <v>467.0</v>
      </c>
      <c r="AB3" s="112">
        <v>467.0</v>
      </c>
      <c r="AC3" s="112">
        <v>289.0</v>
      </c>
    </row>
    <row r="4" ht="15.75" customHeight="1">
      <c r="A4" s="125" t="s">
        <v>144</v>
      </c>
      <c r="B4" s="125">
        <v>0.0</v>
      </c>
      <c r="C4" s="123">
        <v>324.0</v>
      </c>
      <c r="D4" s="123">
        <v>324.0</v>
      </c>
      <c r="E4" s="123">
        <v>426.0</v>
      </c>
      <c r="F4" s="123">
        <v>426.0</v>
      </c>
      <c r="G4" s="123">
        <v>426.0</v>
      </c>
      <c r="H4" s="123">
        <v>426.0</v>
      </c>
      <c r="I4" s="123">
        <v>426.0</v>
      </c>
      <c r="J4" s="123">
        <v>426.0</v>
      </c>
      <c r="K4" s="123">
        <v>426.0</v>
      </c>
      <c r="L4" s="123">
        <v>426.0</v>
      </c>
      <c r="M4" s="123">
        <v>426.0</v>
      </c>
      <c r="N4" s="123">
        <v>426.0</v>
      </c>
      <c r="P4" s="111" t="s">
        <v>145</v>
      </c>
      <c r="Q4" s="111"/>
      <c r="R4" s="112">
        <v>500.0</v>
      </c>
      <c r="S4" s="112">
        <v>500.0</v>
      </c>
      <c r="T4" s="112">
        <v>500.0</v>
      </c>
      <c r="U4" s="112">
        <v>250.0</v>
      </c>
      <c r="V4" s="112">
        <v>500.0</v>
      </c>
      <c r="W4" s="112">
        <v>450.0</v>
      </c>
      <c r="X4" s="112">
        <v>500.0</v>
      </c>
      <c r="Y4" s="112">
        <v>500.0</v>
      </c>
      <c r="Z4" s="112">
        <v>500.0</v>
      </c>
      <c r="AA4" s="112">
        <v>250.0</v>
      </c>
      <c r="AB4" s="112">
        <v>500.0</v>
      </c>
      <c r="AC4" s="112">
        <v>250.0</v>
      </c>
    </row>
    <row r="5" ht="15.75" customHeight="1">
      <c r="A5" s="125" t="s">
        <v>146</v>
      </c>
      <c r="B5" s="125">
        <v>0.0</v>
      </c>
      <c r="C5" s="123">
        <v>294.0</v>
      </c>
      <c r="D5" s="123">
        <v>402.0</v>
      </c>
      <c r="E5" s="123">
        <v>316.0</v>
      </c>
      <c r="F5" s="123">
        <v>289.0</v>
      </c>
      <c r="G5" s="123">
        <v>227.0</v>
      </c>
      <c r="H5" s="123">
        <v>175.0</v>
      </c>
      <c r="I5" s="123">
        <v>0.0</v>
      </c>
      <c r="J5" s="123">
        <v>234.0</v>
      </c>
      <c r="K5" s="123">
        <v>250.0</v>
      </c>
      <c r="L5" s="123">
        <v>259.0</v>
      </c>
      <c r="M5" s="123">
        <v>196.0</v>
      </c>
      <c r="N5" s="123">
        <v>187.0</v>
      </c>
      <c r="P5" s="111" t="s">
        <v>147</v>
      </c>
      <c r="Q5" s="111"/>
      <c r="R5" s="112">
        <v>133.0</v>
      </c>
      <c r="S5" s="112">
        <v>0.0</v>
      </c>
      <c r="T5" s="112">
        <v>0.0</v>
      </c>
      <c r="U5" s="112">
        <v>0.0</v>
      </c>
      <c r="V5" s="112">
        <v>0.0</v>
      </c>
      <c r="W5" s="112">
        <v>265.0</v>
      </c>
      <c r="X5" s="112">
        <v>0.0</v>
      </c>
      <c r="Y5" s="112">
        <v>0.0</v>
      </c>
      <c r="Z5" s="112">
        <v>280.0</v>
      </c>
      <c r="AA5" s="111">
        <v>0.0</v>
      </c>
      <c r="AB5" s="111">
        <v>0.0</v>
      </c>
      <c r="AC5" s="112">
        <v>0.0</v>
      </c>
    </row>
    <row r="6" ht="15.75" customHeight="1">
      <c r="A6" s="125" t="s">
        <v>148</v>
      </c>
      <c r="B6" s="125">
        <v>2215.0</v>
      </c>
      <c r="C6" s="123">
        <v>2741.0</v>
      </c>
      <c r="D6" s="123">
        <v>3041.0</v>
      </c>
      <c r="E6" s="123">
        <v>2000.0</v>
      </c>
      <c r="F6" s="123">
        <v>2440.0</v>
      </c>
      <c r="G6" s="123">
        <v>2250.0</v>
      </c>
      <c r="H6" s="123">
        <v>500.0</v>
      </c>
      <c r="I6" s="123">
        <v>1000.0</v>
      </c>
      <c r="J6" s="123">
        <v>1350.0</v>
      </c>
      <c r="K6" s="123">
        <v>1500.0</v>
      </c>
      <c r="L6" s="123">
        <v>3085.0</v>
      </c>
      <c r="M6" s="123">
        <v>1000.0</v>
      </c>
      <c r="N6" s="123">
        <v>1000.0</v>
      </c>
      <c r="P6" s="111" t="s">
        <v>149</v>
      </c>
      <c r="Q6" s="111"/>
      <c r="R6" s="111"/>
      <c r="S6" s="112"/>
      <c r="T6" s="112"/>
      <c r="U6" s="112"/>
      <c r="V6" s="112"/>
      <c r="W6" s="111"/>
      <c r="X6" s="112">
        <v>0.0</v>
      </c>
      <c r="Y6" s="112">
        <v>100.0</v>
      </c>
      <c r="Z6" s="112">
        <v>100.0</v>
      </c>
      <c r="AA6" s="112">
        <v>100.0</v>
      </c>
      <c r="AB6" s="112">
        <v>100.0</v>
      </c>
      <c r="AC6" s="112">
        <v>100.0</v>
      </c>
    </row>
    <row r="7" ht="15.75" customHeight="1">
      <c r="A7" s="125" t="s">
        <v>150</v>
      </c>
      <c r="B7" s="125">
        <v>18250.0</v>
      </c>
      <c r="C7" s="123">
        <v>250.0</v>
      </c>
      <c r="D7" s="123">
        <v>0.0</v>
      </c>
      <c r="E7" s="123">
        <v>250.0</v>
      </c>
      <c r="F7" s="123">
        <v>0.0</v>
      </c>
      <c r="G7" s="123">
        <v>434.0</v>
      </c>
      <c r="H7" s="123">
        <v>425.0</v>
      </c>
      <c r="I7" s="123">
        <v>416.0</v>
      </c>
      <c r="J7" s="123">
        <v>408.0</v>
      </c>
      <c r="K7" s="123">
        <v>475.0</v>
      </c>
      <c r="L7" s="123">
        <v>400.0</v>
      </c>
      <c r="M7" s="123">
        <v>400.0</v>
      </c>
      <c r="N7" s="123">
        <v>450.0</v>
      </c>
      <c r="P7" s="126" t="s">
        <v>151</v>
      </c>
      <c r="Q7" s="111"/>
      <c r="R7" s="112">
        <v>0.0</v>
      </c>
      <c r="S7" s="112">
        <v>0.0</v>
      </c>
      <c r="T7" s="112">
        <v>0.0</v>
      </c>
      <c r="U7" s="112">
        <v>0.0</v>
      </c>
      <c r="V7" s="112">
        <v>0.0</v>
      </c>
      <c r="W7" s="111">
        <v>0.0</v>
      </c>
      <c r="X7" s="112">
        <v>0.0</v>
      </c>
      <c r="Y7" s="112">
        <v>0.0</v>
      </c>
      <c r="Z7" s="112">
        <v>0.0</v>
      </c>
      <c r="AA7" s="112">
        <v>200.0</v>
      </c>
      <c r="AB7" s="112">
        <v>225.0</v>
      </c>
      <c r="AC7" s="112">
        <v>225.0</v>
      </c>
    </row>
    <row r="8" ht="15.75" customHeight="1">
      <c r="A8" s="125" t="s">
        <v>152</v>
      </c>
      <c r="B8" s="125">
        <v>0.0</v>
      </c>
      <c r="C8" s="123">
        <v>429.0</v>
      </c>
      <c r="D8" s="123">
        <v>337.0</v>
      </c>
      <c r="E8" s="123">
        <v>343.0</v>
      </c>
      <c r="F8" s="123">
        <v>388.0</v>
      </c>
      <c r="G8" s="123">
        <v>488.0</v>
      </c>
      <c r="H8" s="123">
        <v>461.0</v>
      </c>
      <c r="I8" s="123">
        <v>354.0</v>
      </c>
      <c r="J8" s="123">
        <v>776.0</v>
      </c>
      <c r="K8" s="123">
        <v>648.0</v>
      </c>
      <c r="L8" s="123">
        <v>477.0</v>
      </c>
      <c r="M8" s="125">
        <v>0.0</v>
      </c>
      <c r="N8" s="123">
        <v>150.0</v>
      </c>
      <c r="P8" s="126" t="s">
        <v>153</v>
      </c>
      <c r="Q8" s="111"/>
      <c r="R8" s="112">
        <v>96.0</v>
      </c>
      <c r="S8" s="112"/>
      <c r="T8" s="112"/>
      <c r="U8" s="112"/>
      <c r="V8" s="112"/>
      <c r="W8" s="111">
        <v>0.0</v>
      </c>
      <c r="X8" s="112"/>
      <c r="Y8" s="112">
        <v>2105.0</v>
      </c>
      <c r="Z8" s="112">
        <v>0.0</v>
      </c>
      <c r="AA8" s="111"/>
      <c r="AB8" s="111"/>
      <c r="AC8" s="111"/>
    </row>
    <row r="9" ht="15.75" customHeight="1">
      <c r="A9" s="125" t="s">
        <v>154</v>
      </c>
      <c r="B9" s="125">
        <v>826.0</v>
      </c>
      <c r="C9" s="123">
        <v>250.0</v>
      </c>
      <c r="D9" s="123">
        <v>150.0</v>
      </c>
      <c r="E9" s="123">
        <v>100.0</v>
      </c>
      <c r="F9" s="123">
        <v>50.0</v>
      </c>
      <c r="G9" s="123">
        <v>159.0</v>
      </c>
      <c r="H9" s="123">
        <v>100.0</v>
      </c>
      <c r="I9" s="125">
        <v>0.0</v>
      </c>
      <c r="J9" s="123">
        <v>0.0</v>
      </c>
      <c r="K9" s="125">
        <v>0.0</v>
      </c>
      <c r="L9" s="123">
        <v>0.0</v>
      </c>
      <c r="M9" s="125">
        <v>0.0</v>
      </c>
      <c r="N9" s="123">
        <v>0.0</v>
      </c>
      <c r="P9" s="111" t="s">
        <v>155</v>
      </c>
      <c r="Q9" s="111"/>
      <c r="R9" s="112">
        <v>0.0</v>
      </c>
      <c r="S9" s="112">
        <v>0.0</v>
      </c>
      <c r="T9" s="112">
        <v>0.0</v>
      </c>
      <c r="U9" s="112">
        <v>0.0</v>
      </c>
      <c r="V9" s="112">
        <v>0.0</v>
      </c>
      <c r="W9" s="111">
        <v>0.0</v>
      </c>
      <c r="X9" s="112">
        <v>0.0</v>
      </c>
      <c r="Y9" s="112">
        <v>0.0</v>
      </c>
      <c r="Z9" s="112">
        <v>0.0</v>
      </c>
      <c r="AA9" s="111">
        <v>0.0</v>
      </c>
      <c r="AB9" s="111">
        <v>0.0</v>
      </c>
      <c r="AC9" s="112">
        <v>0.0</v>
      </c>
    </row>
    <row r="10" ht="15.75" customHeight="1">
      <c r="A10" s="125" t="s">
        <v>156</v>
      </c>
      <c r="B10" s="125">
        <v>0.0</v>
      </c>
      <c r="C10" s="125">
        <v>0.0</v>
      </c>
      <c r="D10" s="125">
        <v>0.0</v>
      </c>
      <c r="E10" s="123">
        <v>0.0</v>
      </c>
      <c r="F10" s="125">
        <v>0.0</v>
      </c>
      <c r="G10" s="125">
        <v>0.0</v>
      </c>
      <c r="H10" s="125">
        <v>0.0</v>
      </c>
      <c r="I10" s="125">
        <v>0.0</v>
      </c>
      <c r="J10" s="123">
        <v>0.0</v>
      </c>
      <c r="K10" s="125">
        <v>0.0</v>
      </c>
      <c r="L10" s="123">
        <v>0.0</v>
      </c>
      <c r="M10" s="125">
        <v>0.0</v>
      </c>
      <c r="N10" s="123">
        <v>0.0</v>
      </c>
      <c r="P10" s="111" t="s">
        <v>157</v>
      </c>
      <c r="Q10" s="111"/>
      <c r="R10" s="112">
        <v>0.0</v>
      </c>
      <c r="S10" s="112">
        <v>0.0</v>
      </c>
      <c r="T10" s="112">
        <v>0.0</v>
      </c>
      <c r="U10" s="112">
        <v>0.0</v>
      </c>
      <c r="V10" s="112">
        <v>0.0</v>
      </c>
      <c r="W10" s="111">
        <v>0.0</v>
      </c>
      <c r="X10" s="112">
        <v>0.0</v>
      </c>
      <c r="Y10" s="112">
        <v>0.0</v>
      </c>
      <c r="Z10" s="112">
        <v>2500.0</v>
      </c>
      <c r="AA10" s="112">
        <v>800.0</v>
      </c>
      <c r="AB10" s="112">
        <v>500.0</v>
      </c>
      <c r="AC10" s="112">
        <v>1000.0</v>
      </c>
    </row>
    <row r="11" ht="15.75" customHeight="1">
      <c r="A11" s="125" t="s">
        <v>158</v>
      </c>
      <c r="B11" s="125">
        <v>0.0</v>
      </c>
      <c r="C11" s="125">
        <v>0.0</v>
      </c>
      <c r="D11" s="125">
        <v>0.0</v>
      </c>
      <c r="E11" s="123">
        <v>0.0</v>
      </c>
      <c r="F11" s="125">
        <v>0.0</v>
      </c>
      <c r="G11" s="125">
        <v>0.0</v>
      </c>
      <c r="H11" s="125">
        <v>0.0</v>
      </c>
      <c r="I11" s="125">
        <v>0.0</v>
      </c>
      <c r="J11" s="123">
        <v>0.0</v>
      </c>
      <c r="K11" s="125">
        <v>0.0</v>
      </c>
      <c r="L11" s="123">
        <v>0.0</v>
      </c>
      <c r="M11" s="125">
        <v>0.0</v>
      </c>
      <c r="N11" s="123">
        <v>0.0</v>
      </c>
      <c r="P11" s="111"/>
      <c r="Q11" s="111"/>
      <c r="R11" s="112">
        <v>0.0</v>
      </c>
      <c r="S11" s="112">
        <v>0.0</v>
      </c>
      <c r="T11" s="112">
        <v>0.0</v>
      </c>
      <c r="U11" s="112">
        <v>0.0</v>
      </c>
      <c r="V11" s="112">
        <v>0.0</v>
      </c>
      <c r="W11" s="111">
        <v>0.0</v>
      </c>
      <c r="X11" s="112">
        <v>0.0</v>
      </c>
      <c r="Y11" s="112">
        <v>0.0</v>
      </c>
      <c r="Z11" s="112">
        <v>0.0</v>
      </c>
      <c r="AA11" s="111">
        <v>0.0</v>
      </c>
      <c r="AB11" s="111">
        <v>0.0</v>
      </c>
      <c r="AC11" s="112">
        <v>0.0</v>
      </c>
    </row>
    <row r="12" ht="15.75" customHeight="1">
      <c r="A12" s="125" t="s">
        <v>159</v>
      </c>
      <c r="B12" s="125">
        <v>17500.0</v>
      </c>
      <c r="C12" s="125">
        <v>0.0</v>
      </c>
      <c r="D12" s="125">
        <v>0.0</v>
      </c>
      <c r="E12" s="123">
        <v>0.0</v>
      </c>
      <c r="F12" s="125">
        <v>0.0</v>
      </c>
      <c r="G12" s="125">
        <v>0.0</v>
      </c>
      <c r="H12" s="125">
        <v>0.0</v>
      </c>
      <c r="I12" s="125">
        <v>0.0</v>
      </c>
      <c r="J12" s="123">
        <v>0.0</v>
      </c>
      <c r="K12" s="123">
        <v>290.0</v>
      </c>
      <c r="L12" s="123">
        <v>250.0</v>
      </c>
      <c r="M12" s="123">
        <v>200.0</v>
      </c>
      <c r="N12" s="123">
        <v>300.0</v>
      </c>
      <c r="P12" s="111" t="s">
        <v>160</v>
      </c>
      <c r="Q12" s="111"/>
      <c r="R12" s="112">
        <v>1300.0</v>
      </c>
      <c r="S12" s="112">
        <v>1800.0</v>
      </c>
      <c r="T12" s="112">
        <v>1800.0</v>
      </c>
      <c r="U12" s="112">
        <v>1000.0</v>
      </c>
      <c r="V12" s="112">
        <v>1500.0</v>
      </c>
      <c r="W12" s="111">
        <v>1300.0</v>
      </c>
      <c r="X12" s="112">
        <v>1450.0</v>
      </c>
      <c r="Y12" s="112">
        <v>100.0</v>
      </c>
      <c r="Z12" s="112">
        <v>300.0</v>
      </c>
      <c r="AA12" s="112">
        <v>300.0</v>
      </c>
      <c r="AB12" s="111">
        <v>600.0</v>
      </c>
      <c r="AC12" s="112">
        <v>300.0</v>
      </c>
    </row>
    <row r="13" ht="15.75" customHeight="1">
      <c r="A13" s="125" t="s">
        <v>161</v>
      </c>
      <c r="B13" s="125">
        <v>0.0</v>
      </c>
      <c r="C13" s="125">
        <v>0.0</v>
      </c>
      <c r="D13" s="125">
        <v>0.0</v>
      </c>
      <c r="E13" s="123">
        <v>0.0</v>
      </c>
      <c r="F13" s="125">
        <v>0.0</v>
      </c>
      <c r="G13" s="125">
        <v>0.0</v>
      </c>
      <c r="H13" s="125">
        <v>0.0</v>
      </c>
      <c r="I13" s="125">
        <v>0.0</v>
      </c>
      <c r="J13" s="123">
        <v>0.0</v>
      </c>
      <c r="K13" s="125">
        <v>0.0</v>
      </c>
      <c r="L13" s="123">
        <v>0.0</v>
      </c>
      <c r="M13" s="125">
        <v>0.0</v>
      </c>
      <c r="N13" s="123">
        <v>0.0</v>
      </c>
      <c r="P13" s="111" t="s">
        <v>119</v>
      </c>
      <c r="Q13" s="111">
        <f>Q3</f>
        <v>44975</v>
      </c>
      <c r="R13" s="112">
        <f t="shared" ref="R13:AC13" si="1">Sum(R3:R12)</f>
        <v>2488</v>
      </c>
      <c r="S13" s="112">
        <f t="shared" si="1"/>
        <v>2759</v>
      </c>
      <c r="T13" s="112">
        <f t="shared" si="1"/>
        <v>2760</v>
      </c>
      <c r="U13" s="112">
        <f t="shared" si="1"/>
        <v>1826</v>
      </c>
      <c r="V13" s="112">
        <f t="shared" si="1"/>
        <v>2576</v>
      </c>
      <c r="W13" s="111">
        <f t="shared" si="1"/>
        <v>2591</v>
      </c>
      <c r="X13" s="112">
        <f t="shared" si="1"/>
        <v>2417</v>
      </c>
      <c r="Y13" s="112">
        <f t="shared" si="1"/>
        <v>3405</v>
      </c>
      <c r="Z13" s="112">
        <f t="shared" si="1"/>
        <v>4147</v>
      </c>
      <c r="AA13" s="111">
        <f t="shared" si="1"/>
        <v>2117</v>
      </c>
      <c r="AB13" s="111">
        <f t="shared" si="1"/>
        <v>2392</v>
      </c>
      <c r="AC13" s="112">
        <f t="shared" si="1"/>
        <v>2164</v>
      </c>
    </row>
    <row r="14" ht="15.75" customHeight="1">
      <c r="A14" s="125" t="s">
        <v>162</v>
      </c>
      <c r="B14" s="125">
        <v>0.0</v>
      </c>
      <c r="C14" s="125">
        <v>0.0</v>
      </c>
      <c r="D14" s="125">
        <v>0.0</v>
      </c>
      <c r="E14" s="123">
        <v>0.0</v>
      </c>
      <c r="F14" s="125">
        <v>0.0</v>
      </c>
      <c r="G14" s="125">
        <v>0.0</v>
      </c>
      <c r="H14" s="125">
        <v>0.0</v>
      </c>
      <c r="I14" s="125">
        <v>0.0</v>
      </c>
      <c r="J14" s="123">
        <v>0.0</v>
      </c>
      <c r="K14" s="125">
        <v>0.0</v>
      </c>
      <c r="L14" s="123">
        <v>0.0</v>
      </c>
      <c r="M14" s="125">
        <v>0.0</v>
      </c>
      <c r="N14" s="123">
        <v>0.0</v>
      </c>
      <c r="P14" s="112" t="s">
        <v>35</v>
      </c>
      <c r="Q14" s="111"/>
      <c r="R14" s="112">
        <f t="shared" ref="R14:AC14" si="2">R2-R13</f>
        <v>534</v>
      </c>
      <c r="S14" s="112">
        <f t="shared" si="2"/>
        <v>306</v>
      </c>
      <c r="T14" s="112">
        <f t="shared" si="2"/>
        <v>300</v>
      </c>
      <c r="U14" s="112">
        <f t="shared" si="2"/>
        <v>50</v>
      </c>
      <c r="V14" s="112">
        <f t="shared" si="2"/>
        <v>484</v>
      </c>
      <c r="W14" s="111">
        <f t="shared" si="2"/>
        <v>469</v>
      </c>
      <c r="X14" s="112">
        <f t="shared" si="2"/>
        <v>726</v>
      </c>
      <c r="Y14" s="112">
        <f t="shared" si="2"/>
        <v>-262</v>
      </c>
      <c r="Z14" s="112">
        <f t="shared" si="2"/>
        <v>238</v>
      </c>
      <c r="AA14" s="111">
        <f t="shared" si="2"/>
        <v>243</v>
      </c>
      <c r="AB14" s="111">
        <f t="shared" si="2"/>
        <v>1992</v>
      </c>
      <c r="AC14" s="112">
        <f t="shared" si="2"/>
        <v>144</v>
      </c>
    </row>
    <row r="15" ht="15.75" customHeight="1">
      <c r="A15" s="125" t="s">
        <v>163</v>
      </c>
      <c r="B15" s="125">
        <v>0.0</v>
      </c>
      <c r="C15" s="125">
        <v>0.0</v>
      </c>
      <c r="D15" s="123">
        <v>200.0</v>
      </c>
      <c r="E15" s="123">
        <v>0.0</v>
      </c>
      <c r="F15" s="125">
        <v>0.0</v>
      </c>
      <c r="G15" s="125">
        <v>0.0</v>
      </c>
      <c r="H15" s="125">
        <v>0.0</v>
      </c>
      <c r="I15" s="125">
        <v>0.0</v>
      </c>
      <c r="J15" s="123">
        <v>0.0</v>
      </c>
      <c r="K15" s="125">
        <v>0.0</v>
      </c>
      <c r="L15" s="123">
        <v>0.0</v>
      </c>
      <c r="M15" s="125">
        <v>0.0</v>
      </c>
      <c r="N15" s="123">
        <v>0.0</v>
      </c>
    </row>
    <row r="16" ht="15.75" customHeight="1">
      <c r="A16" s="125" t="s">
        <v>164</v>
      </c>
      <c r="B16" s="125">
        <v>0.0</v>
      </c>
      <c r="C16" s="125">
        <v>0.0</v>
      </c>
      <c r="D16" s="123">
        <v>29.0</v>
      </c>
      <c r="E16" s="123">
        <v>29.0</v>
      </c>
      <c r="F16" s="123">
        <v>195.0</v>
      </c>
      <c r="G16" s="123">
        <v>247.0</v>
      </c>
      <c r="H16" s="123">
        <v>76.0</v>
      </c>
      <c r="I16" s="123">
        <v>0.0</v>
      </c>
      <c r="J16" s="123">
        <v>215.0</v>
      </c>
      <c r="K16" s="123">
        <v>488.0</v>
      </c>
      <c r="L16" s="123">
        <v>105.0</v>
      </c>
      <c r="M16" s="123">
        <v>16.0</v>
      </c>
      <c r="N16" s="123">
        <v>0.0</v>
      </c>
      <c r="P16" s="127" t="s">
        <v>165</v>
      </c>
      <c r="Q16" s="127">
        <v>0.0</v>
      </c>
      <c r="R16" s="127"/>
      <c r="S16" s="127"/>
      <c r="T16" s="127">
        <v>0.0</v>
      </c>
      <c r="U16" s="127">
        <v>141.96</v>
      </c>
      <c r="V16" s="127">
        <v>400.0</v>
      </c>
      <c r="W16" s="127">
        <v>250.0</v>
      </c>
      <c r="X16" s="127">
        <v>150.0</v>
      </c>
      <c r="Y16" s="127"/>
      <c r="Z16" s="127"/>
      <c r="AA16" s="127"/>
      <c r="AB16" s="127"/>
      <c r="AC16" s="127"/>
    </row>
    <row r="17" ht="15.75" customHeight="1">
      <c r="A17" s="125" t="s">
        <v>166</v>
      </c>
      <c r="B17" s="125">
        <v>5500.0</v>
      </c>
      <c r="C17" s="125">
        <v>0.0</v>
      </c>
      <c r="D17" s="125">
        <v>0.0</v>
      </c>
      <c r="E17" s="123">
        <v>236.0</v>
      </c>
      <c r="F17" s="125">
        <v>250.0</v>
      </c>
      <c r="G17" s="123">
        <v>510.0</v>
      </c>
      <c r="H17" s="123">
        <v>158.0</v>
      </c>
      <c r="I17" s="125">
        <v>158.0</v>
      </c>
      <c r="J17" s="123">
        <v>298.0</v>
      </c>
      <c r="K17" s="123">
        <v>379.0</v>
      </c>
      <c r="L17" s="123">
        <v>0.0</v>
      </c>
      <c r="M17" s="123">
        <v>317.0</v>
      </c>
      <c r="N17" s="123">
        <v>327.0</v>
      </c>
      <c r="P17" s="127" t="s">
        <v>167</v>
      </c>
      <c r="Q17" s="127">
        <v>0.0</v>
      </c>
      <c r="R17" s="128"/>
      <c r="S17" s="128"/>
      <c r="T17" s="128"/>
      <c r="U17" s="128"/>
      <c r="V17" s="128"/>
      <c r="W17" s="128"/>
      <c r="X17" s="128"/>
      <c r="Y17" s="128"/>
      <c r="Z17" s="128"/>
      <c r="AA17" s="128"/>
      <c r="AB17" s="128"/>
      <c r="AC17" s="128"/>
    </row>
    <row r="18" ht="15.75" customHeight="1">
      <c r="A18" s="125" t="s">
        <v>168</v>
      </c>
      <c r="B18" s="125">
        <v>0.0</v>
      </c>
      <c r="C18" s="123">
        <v>184.0</v>
      </c>
      <c r="D18" s="123">
        <v>61.0</v>
      </c>
      <c r="E18" s="123">
        <v>0.0</v>
      </c>
      <c r="F18" s="123">
        <v>126.0</v>
      </c>
      <c r="G18" s="123">
        <v>111.0</v>
      </c>
      <c r="H18" s="123">
        <v>111.0</v>
      </c>
      <c r="I18" s="123">
        <v>41.0</v>
      </c>
      <c r="J18" s="123">
        <v>0.0</v>
      </c>
      <c r="K18" s="123">
        <v>81.0</v>
      </c>
      <c r="L18" s="123">
        <v>49.0</v>
      </c>
      <c r="M18" s="123">
        <v>186.0</v>
      </c>
      <c r="N18" s="123">
        <v>36.0</v>
      </c>
      <c r="P18" s="128" t="s">
        <v>169</v>
      </c>
      <c r="Q18" s="127">
        <v>800.0</v>
      </c>
      <c r="R18" s="128"/>
      <c r="S18" s="128"/>
      <c r="T18" s="128"/>
      <c r="U18" s="128"/>
      <c r="V18" s="128"/>
      <c r="W18" s="128"/>
      <c r="X18" s="128"/>
      <c r="Y18" s="128"/>
      <c r="Z18" s="128"/>
      <c r="AA18" s="127">
        <v>85.0</v>
      </c>
      <c r="AB18" s="127">
        <v>100.0</v>
      </c>
      <c r="AC18" s="127">
        <v>100.0</v>
      </c>
    </row>
    <row r="19" ht="15.75" customHeight="1">
      <c r="A19" s="125"/>
      <c r="B19" s="125"/>
      <c r="C19" s="125"/>
      <c r="D19" s="125"/>
      <c r="E19" s="123"/>
      <c r="F19" s="125"/>
      <c r="G19" s="123"/>
      <c r="H19" s="123"/>
      <c r="I19" s="125"/>
      <c r="J19" s="125"/>
      <c r="K19" s="125"/>
      <c r="L19" s="123"/>
      <c r="M19" s="125"/>
      <c r="N19" s="125"/>
      <c r="P19" s="127"/>
      <c r="Q19" s="128"/>
      <c r="R19" s="128"/>
      <c r="S19" s="128"/>
      <c r="T19" s="128"/>
      <c r="U19" s="128"/>
      <c r="V19" s="128"/>
      <c r="W19" s="128"/>
      <c r="X19" s="128"/>
      <c r="Y19" s="128"/>
      <c r="Z19" s="128"/>
      <c r="AA19" s="128"/>
      <c r="AB19" s="128"/>
      <c r="AC19" s="128"/>
    </row>
    <row r="20" ht="15.75" customHeight="1">
      <c r="A20" s="125" t="s">
        <v>170</v>
      </c>
      <c r="B20" s="125">
        <v>0.0</v>
      </c>
      <c r="C20" s="125">
        <v>0.0</v>
      </c>
      <c r="D20" s="123">
        <v>0.0</v>
      </c>
      <c r="E20" s="123">
        <v>0.0</v>
      </c>
      <c r="F20" s="125">
        <v>0.0</v>
      </c>
      <c r="G20" s="123">
        <v>30.0</v>
      </c>
      <c r="H20" s="123">
        <v>0.0</v>
      </c>
      <c r="I20" s="125">
        <v>0.0</v>
      </c>
      <c r="J20" s="123">
        <v>25.0</v>
      </c>
      <c r="K20" s="125">
        <v>0.0</v>
      </c>
      <c r="L20" s="123">
        <v>0.0</v>
      </c>
      <c r="M20" s="125">
        <v>0.0</v>
      </c>
      <c r="N20" s="123">
        <v>0.0</v>
      </c>
      <c r="T20" s="129">
        <v>7424.0</v>
      </c>
      <c r="U20" s="130">
        <v>19975.0</v>
      </c>
      <c r="W20" s="130">
        <v>4371.0</v>
      </c>
      <c r="X20" s="131">
        <v>2527.0</v>
      </c>
      <c r="Y20" s="130">
        <v>2114.0</v>
      </c>
      <c r="Z20" s="130">
        <v>2192.0</v>
      </c>
      <c r="AA20" s="130" t="s">
        <v>171</v>
      </c>
    </row>
    <row r="21" ht="15.75" customHeight="1">
      <c r="A21" s="125" t="s">
        <v>172</v>
      </c>
      <c r="B21" s="125">
        <v>2000.0</v>
      </c>
      <c r="C21" s="125">
        <v>0.0</v>
      </c>
      <c r="D21" s="123">
        <v>0.0</v>
      </c>
      <c r="E21" s="123">
        <v>0.0</v>
      </c>
      <c r="F21" s="125">
        <v>0.0</v>
      </c>
      <c r="G21" s="123">
        <v>129.0</v>
      </c>
      <c r="H21" s="123">
        <v>104.0</v>
      </c>
      <c r="I21" s="123">
        <v>206.0</v>
      </c>
      <c r="J21" s="123">
        <v>143.0</v>
      </c>
      <c r="K21" s="125">
        <v>0.0</v>
      </c>
      <c r="L21" s="123">
        <v>0.0</v>
      </c>
      <c r="M21" s="125">
        <v>0.0</v>
      </c>
      <c r="N21" s="123">
        <v>194.0</v>
      </c>
      <c r="T21" s="129">
        <v>740.0</v>
      </c>
      <c r="U21" s="130">
        <v>19830.0</v>
      </c>
      <c r="W21" s="130">
        <v>1875.0</v>
      </c>
      <c r="X21" s="131">
        <v>250.0</v>
      </c>
      <c r="Y21" s="131">
        <v>250.0</v>
      </c>
      <c r="Z21" s="130">
        <v>250.0</v>
      </c>
    </row>
    <row r="22" ht="15.75" customHeight="1">
      <c r="A22" s="125" t="s">
        <v>173</v>
      </c>
      <c r="B22" s="125">
        <v>0.0</v>
      </c>
      <c r="C22" s="125">
        <v>0.0</v>
      </c>
      <c r="D22" s="123">
        <v>0.0</v>
      </c>
      <c r="E22" s="123">
        <v>43.0</v>
      </c>
      <c r="F22" s="125">
        <v>0.0</v>
      </c>
      <c r="G22" s="123">
        <v>131.0</v>
      </c>
      <c r="H22" s="123">
        <v>133.0</v>
      </c>
      <c r="I22" s="123">
        <v>129.0</v>
      </c>
      <c r="J22" s="123">
        <v>216.0</v>
      </c>
      <c r="K22" s="125">
        <v>0.0</v>
      </c>
      <c r="L22" s="123">
        <v>0.0</v>
      </c>
      <c r="M22" s="125">
        <v>0.0</v>
      </c>
      <c r="N22" s="123">
        <v>0.0</v>
      </c>
      <c r="P22" s="130" t="s">
        <v>174</v>
      </c>
      <c r="Q22" s="130">
        <v>3450.0</v>
      </c>
      <c r="R22" s="130">
        <v>8932.16</v>
      </c>
      <c r="S22" s="130" t="s">
        <v>175</v>
      </c>
      <c r="T22" s="129">
        <v>14261.0</v>
      </c>
      <c r="U22" s="130">
        <v>0.0</v>
      </c>
      <c r="W22" s="130">
        <v>426.0</v>
      </c>
      <c r="X22" s="131">
        <v>300.0</v>
      </c>
      <c r="Y22" s="131">
        <v>467.0</v>
      </c>
      <c r="Z22" s="131">
        <v>0.0</v>
      </c>
      <c r="AA22" s="130">
        <v>82.81</v>
      </c>
    </row>
    <row r="23" ht="15.75" customHeight="1">
      <c r="A23" s="125"/>
      <c r="B23" s="125"/>
      <c r="C23" s="125"/>
      <c r="D23" s="123"/>
      <c r="E23" s="123"/>
      <c r="F23" s="125"/>
      <c r="G23" s="123"/>
      <c r="H23" s="123"/>
      <c r="I23" s="125"/>
      <c r="J23" s="125"/>
      <c r="K23" s="125"/>
      <c r="L23" s="125"/>
      <c r="M23" s="125"/>
      <c r="N23" s="125"/>
      <c r="P23" s="130" t="s">
        <v>176</v>
      </c>
      <c r="Q23" s="130">
        <v>9620.0</v>
      </c>
      <c r="R23" s="130">
        <v>9777.84</v>
      </c>
      <c r="S23" s="130" t="s">
        <v>177</v>
      </c>
      <c r="T23" s="129">
        <v>20383.0</v>
      </c>
      <c r="U23" s="130">
        <v>12750.0</v>
      </c>
      <c r="W23" s="130">
        <v>1000.0</v>
      </c>
      <c r="X23" s="131">
        <v>288.0</v>
      </c>
      <c r="Y23" s="130">
        <v>300.0</v>
      </c>
      <c r="Z23" s="130">
        <v>300.0</v>
      </c>
      <c r="AA23" s="130">
        <v>32.34</v>
      </c>
    </row>
    <row r="24" ht="15.75" customHeight="1">
      <c r="A24" s="125" t="s">
        <v>178</v>
      </c>
      <c r="B24" s="125"/>
      <c r="C24" s="123">
        <v>500.0</v>
      </c>
      <c r="D24" s="123">
        <v>500.0</v>
      </c>
      <c r="E24" s="123">
        <v>500.0</v>
      </c>
      <c r="F24" s="123">
        <v>500.0</v>
      </c>
      <c r="G24" s="123">
        <v>500.0</v>
      </c>
      <c r="H24" s="123">
        <v>1500.0</v>
      </c>
      <c r="I24" s="123">
        <v>500.0</v>
      </c>
      <c r="J24" s="123">
        <v>500.0</v>
      </c>
      <c r="K24" s="123">
        <v>500.0</v>
      </c>
      <c r="L24" s="123">
        <v>500.0</v>
      </c>
      <c r="M24" s="123">
        <v>250.0</v>
      </c>
      <c r="N24" s="123">
        <v>250.0</v>
      </c>
      <c r="P24" s="130" t="s">
        <v>179</v>
      </c>
      <c r="Q24" s="130">
        <v>21224.0</v>
      </c>
      <c r="R24" s="130">
        <v>0.0</v>
      </c>
      <c r="S24" s="130">
        <v>2385.13</v>
      </c>
      <c r="T24" s="129">
        <v>1643.0</v>
      </c>
      <c r="U24" s="130">
        <v>0.0</v>
      </c>
      <c r="W24" s="130">
        <v>466.0</v>
      </c>
      <c r="X24" s="131">
        <v>500.0</v>
      </c>
      <c r="Y24" s="131">
        <v>300.0</v>
      </c>
      <c r="Z24" s="130">
        <v>0.0</v>
      </c>
    </row>
    <row r="25" ht="15.75" customHeight="1">
      <c r="A25" s="125" t="s">
        <v>180</v>
      </c>
      <c r="B25" s="125"/>
      <c r="C25" s="123">
        <v>371.0</v>
      </c>
      <c r="D25" s="123">
        <v>119.0</v>
      </c>
      <c r="E25" s="123">
        <v>1339.0</v>
      </c>
      <c r="F25" s="123">
        <v>89.0</v>
      </c>
      <c r="G25" s="123">
        <v>104.0</v>
      </c>
      <c r="H25" s="123">
        <v>1250.0</v>
      </c>
      <c r="I25" s="123">
        <v>1224.0</v>
      </c>
      <c r="J25" s="125">
        <v>300.0</v>
      </c>
      <c r="K25" s="123">
        <v>253.0</v>
      </c>
      <c r="L25" s="123">
        <v>89.0</v>
      </c>
      <c r="M25" s="125">
        <v>0.0</v>
      </c>
      <c r="N25" s="123">
        <v>120.0</v>
      </c>
      <c r="P25" s="130" t="s">
        <v>181</v>
      </c>
      <c r="Q25" s="130">
        <v>7250.0</v>
      </c>
      <c r="R25" s="130">
        <v>0.0</v>
      </c>
      <c r="T25" s="129">
        <v>9299.0</v>
      </c>
      <c r="U25" s="130">
        <v>0.0</v>
      </c>
      <c r="W25" s="130">
        <v>194.0</v>
      </c>
      <c r="X25" s="131">
        <v>500.0</v>
      </c>
      <c r="Y25" s="131">
        <v>500.0</v>
      </c>
      <c r="Z25" s="131">
        <v>0.0</v>
      </c>
    </row>
    <row r="26" ht="15.75" customHeight="1">
      <c r="A26" s="125" t="s">
        <v>119</v>
      </c>
      <c r="B26" s="125">
        <f t="shared" ref="B26:N26" si="3">Sum(B3:B25)</f>
        <v>671201</v>
      </c>
      <c r="C26" s="123">
        <f t="shared" si="3"/>
        <v>8593</v>
      </c>
      <c r="D26" s="123">
        <f t="shared" si="3"/>
        <v>8413</v>
      </c>
      <c r="E26" s="123">
        <f t="shared" si="3"/>
        <v>8832</v>
      </c>
      <c r="F26" s="125">
        <f t="shared" si="3"/>
        <v>8003</v>
      </c>
      <c r="G26" s="123">
        <f t="shared" si="3"/>
        <v>7371</v>
      </c>
      <c r="H26" s="123">
        <f t="shared" si="3"/>
        <v>8669</v>
      </c>
      <c r="I26" s="125">
        <f t="shared" si="3"/>
        <v>7704</v>
      </c>
      <c r="J26" s="123">
        <f t="shared" si="3"/>
        <v>8141</v>
      </c>
      <c r="K26" s="123">
        <f t="shared" si="3"/>
        <v>8540</v>
      </c>
      <c r="L26" s="123">
        <f t="shared" si="3"/>
        <v>8890</v>
      </c>
      <c r="M26" s="125">
        <f t="shared" si="3"/>
        <v>4616</v>
      </c>
      <c r="N26" s="125">
        <f t="shared" si="3"/>
        <v>5065</v>
      </c>
      <c r="Q26" s="131">
        <f t="shared" ref="Q26:R26" si="4">Sum(Q21:Q25)</f>
        <v>41544</v>
      </c>
      <c r="R26" s="132">
        <f t="shared" si="4"/>
        <v>18710</v>
      </c>
      <c r="T26" s="129">
        <v>1402.0</v>
      </c>
      <c r="W26" s="130">
        <v>0.0</v>
      </c>
      <c r="X26" s="131">
        <v>0.0</v>
      </c>
      <c r="Y26" s="130">
        <v>0.0</v>
      </c>
      <c r="Z26" s="130">
        <v>0.0</v>
      </c>
    </row>
    <row r="27" ht="15.75" customHeight="1">
      <c r="A27" s="123" t="s">
        <v>35</v>
      </c>
      <c r="B27" s="123"/>
      <c r="C27" s="123">
        <f t="shared" ref="C27:N27" si="5">C2-C26</f>
        <v>428</v>
      </c>
      <c r="D27" s="123">
        <f t="shared" si="5"/>
        <v>427</v>
      </c>
      <c r="E27" s="123">
        <f t="shared" si="5"/>
        <v>244</v>
      </c>
      <c r="F27" s="123">
        <f t="shared" si="5"/>
        <v>627</v>
      </c>
      <c r="G27" s="123">
        <f t="shared" si="5"/>
        <v>1259</v>
      </c>
      <c r="H27" s="123">
        <f t="shared" si="5"/>
        <v>219</v>
      </c>
      <c r="I27" s="123">
        <f t="shared" si="5"/>
        <v>985</v>
      </c>
      <c r="J27" s="123">
        <f t="shared" si="5"/>
        <v>747</v>
      </c>
      <c r="K27" s="123">
        <f t="shared" si="5"/>
        <v>261</v>
      </c>
      <c r="L27" s="125">
        <f t="shared" si="5"/>
        <v>-55</v>
      </c>
      <c r="M27" s="125">
        <f t="shared" si="5"/>
        <v>-17</v>
      </c>
      <c r="N27" s="125">
        <f t="shared" si="5"/>
        <v>-261</v>
      </c>
      <c r="T27" s="129">
        <f t="shared" ref="T27:U27" si="6">Sum(T20:T26)</f>
        <v>55152</v>
      </c>
      <c r="U27" s="132">
        <f t="shared" si="6"/>
        <v>52555</v>
      </c>
      <c r="W27" s="132">
        <f t="shared" ref="W27:Z27" si="7">SUM(W21:W26)</f>
        <v>3961</v>
      </c>
      <c r="X27" s="131">
        <f t="shared" si="7"/>
        <v>1838</v>
      </c>
      <c r="Y27" s="132">
        <f t="shared" si="7"/>
        <v>1817</v>
      </c>
      <c r="Z27" s="132">
        <f t="shared" si="7"/>
        <v>550</v>
      </c>
    </row>
    <row r="28" ht="15.75" customHeight="1">
      <c r="P28" s="131"/>
      <c r="Q28" s="131"/>
      <c r="W28" s="132">
        <f t="shared" ref="W28:Z28" si="8">W20-W27</f>
        <v>410</v>
      </c>
      <c r="X28" s="131">
        <f t="shared" si="8"/>
        <v>689</v>
      </c>
      <c r="Y28" s="132">
        <f t="shared" si="8"/>
        <v>297</v>
      </c>
      <c r="Z28" s="132">
        <f t="shared" si="8"/>
        <v>1642</v>
      </c>
    </row>
    <row r="29" ht="15.75" customHeight="1">
      <c r="A29" s="133" t="s">
        <v>109</v>
      </c>
      <c r="B29" s="133">
        <v>9373.0</v>
      </c>
      <c r="C29" s="133">
        <v>2950.0</v>
      </c>
      <c r="D29" s="133">
        <v>2950.0</v>
      </c>
      <c r="E29" s="133">
        <v>2950.0</v>
      </c>
      <c r="F29" s="133">
        <v>2950.0</v>
      </c>
      <c r="G29" s="133">
        <v>2950.0</v>
      </c>
      <c r="H29" s="133">
        <v>2950.0</v>
      </c>
      <c r="I29" s="133">
        <v>2950.0</v>
      </c>
      <c r="J29" s="133">
        <v>2950.0</v>
      </c>
      <c r="K29" s="133">
        <v>2950.0</v>
      </c>
      <c r="L29" s="133">
        <v>2950.0</v>
      </c>
      <c r="M29" s="133">
        <v>2950.0</v>
      </c>
      <c r="N29" s="133">
        <v>2950.0</v>
      </c>
      <c r="S29" s="134">
        <v>45450.0</v>
      </c>
      <c r="T29" s="135">
        <v>383.17</v>
      </c>
      <c r="U29" s="135"/>
      <c r="V29" s="135"/>
      <c r="W29" s="135"/>
      <c r="X29" s="135"/>
      <c r="Y29" s="135"/>
      <c r="Z29" s="135"/>
    </row>
    <row r="30" ht="15.75" customHeight="1">
      <c r="A30" s="136"/>
      <c r="B30" s="136"/>
      <c r="C30" s="133"/>
      <c r="D30" s="133"/>
      <c r="E30" s="133"/>
      <c r="F30" s="136"/>
      <c r="G30" s="136"/>
      <c r="H30" s="136"/>
      <c r="I30" s="136"/>
      <c r="J30" s="136"/>
      <c r="K30" s="136"/>
      <c r="L30" s="136"/>
      <c r="M30" s="136"/>
      <c r="N30" s="136"/>
      <c r="S30" s="134">
        <v>45449.0</v>
      </c>
      <c r="T30" s="135">
        <f>U30-W30</f>
        <v>101.76</v>
      </c>
      <c r="U30" s="135">
        <v>122.53</v>
      </c>
      <c r="V30" s="135" t="s">
        <v>182</v>
      </c>
      <c r="W30" s="135">
        <v>20.77</v>
      </c>
      <c r="X30" s="135">
        <v>2.88</v>
      </c>
      <c r="Y30" s="135">
        <v>2.9</v>
      </c>
      <c r="Z30" s="135">
        <v>14.99</v>
      </c>
    </row>
    <row r="31" ht="15.75" customHeight="1">
      <c r="A31" s="136" t="s">
        <v>110</v>
      </c>
      <c r="B31" s="136">
        <v>346508.0</v>
      </c>
      <c r="C31" s="133">
        <v>1600.0</v>
      </c>
      <c r="D31" s="133">
        <v>1600.0</v>
      </c>
      <c r="E31" s="133">
        <v>1600.0</v>
      </c>
      <c r="F31" s="133">
        <v>1600.0</v>
      </c>
      <c r="G31" s="133">
        <v>1600.0</v>
      </c>
      <c r="H31" s="133">
        <v>1600.0</v>
      </c>
      <c r="I31" s="133">
        <v>1600.0</v>
      </c>
      <c r="J31" s="133">
        <v>1600.0</v>
      </c>
      <c r="K31" s="133">
        <v>1600.0</v>
      </c>
      <c r="L31" s="133">
        <v>1600.0</v>
      </c>
      <c r="M31" s="133">
        <v>1600.0</v>
      </c>
      <c r="N31" s="133">
        <v>1600.0</v>
      </c>
      <c r="S31" s="134">
        <v>45449.0</v>
      </c>
      <c r="T31" s="135">
        <v>297.92</v>
      </c>
      <c r="U31" s="135"/>
      <c r="V31" s="135"/>
      <c r="W31" s="135"/>
      <c r="X31" s="135"/>
      <c r="Y31" s="135"/>
      <c r="Z31" s="135"/>
    </row>
    <row r="32" ht="15.75" customHeight="1">
      <c r="A32" s="136" t="s">
        <v>183</v>
      </c>
      <c r="B32" s="136"/>
      <c r="C32" s="133">
        <v>48.0</v>
      </c>
      <c r="D32" s="133">
        <v>48.0</v>
      </c>
      <c r="E32" s="133">
        <v>48.0</v>
      </c>
      <c r="F32" s="133">
        <v>48.0</v>
      </c>
      <c r="G32" s="133">
        <v>48.0</v>
      </c>
      <c r="H32" s="133">
        <v>48.0</v>
      </c>
      <c r="I32" s="133">
        <v>48.0</v>
      </c>
      <c r="J32" s="133">
        <v>48.0</v>
      </c>
      <c r="K32" s="133">
        <v>48.0</v>
      </c>
      <c r="L32" s="133">
        <v>0.0</v>
      </c>
      <c r="M32" s="133">
        <v>0.0</v>
      </c>
      <c r="N32" s="133">
        <v>0.0</v>
      </c>
      <c r="P32" s="135" t="s">
        <v>184</v>
      </c>
      <c r="Q32" s="135">
        <v>55000.0</v>
      </c>
      <c r="S32" s="134">
        <v>45448.0</v>
      </c>
      <c r="T32" s="135">
        <v>234.42</v>
      </c>
      <c r="U32" s="135"/>
      <c r="V32" s="135"/>
      <c r="W32" s="135"/>
      <c r="X32" s="135"/>
      <c r="Y32" s="135"/>
      <c r="Z32" s="135"/>
    </row>
    <row r="33" ht="15.75" customHeight="1">
      <c r="A33" s="136" t="s">
        <v>185</v>
      </c>
      <c r="B33" s="136"/>
      <c r="C33" s="133">
        <v>0.0</v>
      </c>
      <c r="D33" s="133">
        <v>0.0</v>
      </c>
      <c r="E33" s="133">
        <v>0.0</v>
      </c>
      <c r="F33" s="133">
        <v>0.0</v>
      </c>
      <c r="G33" s="133">
        <v>0.0</v>
      </c>
      <c r="H33" s="133">
        <v>100.0</v>
      </c>
      <c r="I33" s="133">
        <v>0.0</v>
      </c>
      <c r="J33" s="133">
        <v>0.0</v>
      </c>
      <c r="K33" s="133">
        <v>0.0</v>
      </c>
      <c r="L33" s="133">
        <v>210.0</v>
      </c>
      <c r="M33" s="133">
        <v>353.0</v>
      </c>
      <c r="N33" s="133">
        <v>257.0</v>
      </c>
      <c r="P33" s="135" t="s">
        <v>186</v>
      </c>
      <c r="Q33" s="135">
        <v>6000.0</v>
      </c>
      <c r="S33" s="134">
        <v>45446.0</v>
      </c>
      <c r="T33" s="135">
        <f>U33-W33</f>
        <v>73.8</v>
      </c>
      <c r="U33" s="135">
        <v>221.48</v>
      </c>
      <c r="V33" s="135" t="s">
        <v>182</v>
      </c>
      <c r="W33" s="135">
        <v>147.68</v>
      </c>
      <c r="X33" s="135"/>
      <c r="Y33" s="135"/>
      <c r="Z33" s="135"/>
    </row>
    <row r="34" ht="15.75" customHeight="1">
      <c r="A34" s="136" t="s">
        <v>187</v>
      </c>
      <c r="B34" s="136"/>
      <c r="C34" s="133">
        <v>5140.0</v>
      </c>
      <c r="D34" s="133">
        <v>1586.0</v>
      </c>
      <c r="E34" s="133">
        <v>1000.0</v>
      </c>
      <c r="F34" s="133">
        <v>1000.0</v>
      </c>
      <c r="G34" s="133">
        <v>1500.0</v>
      </c>
      <c r="H34" s="133">
        <v>1000.0</v>
      </c>
      <c r="I34" s="133">
        <v>1000.0</v>
      </c>
      <c r="J34" s="133">
        <v>1000.0</v>
      </c>
      <c r="K34" s="133">
        <v>1250.0</v>
      </c>
      <c r="L34" s="133">
        <v>1000.0</v>
      </c>
      <c r="M34" s="133">
        <v>750.0</v>
      </c>
      <c r="N34" s="133">
        <v>1250.0</v>
      </c>
      <c r="P34" s="135" t="s">
        <v>188</v>
      </c>
      <c r="Q34" s="135">
        <v>6000.0</v>
      </c>
      <c r="S34" s="134">
        <v>45443.0</v>
      </c>
      <c r="T34" s="135">
        <v>341.64</v>
      </c>
      <c r="U34" s="135"/>
      <c r="V34" s="135"/>
      <c r="W34" s="135"/>
      <c r="X34" s="135"/>
      <c r="Y34" s="135"/>
      <c r="Z34" s="135"/>
    </row>
    <row r="35" ht="15.75" customHeight="1">
      <c r="A35" s="136" t="s">
        <v>119</v>
      </c>
      <c r="B35" s="136">
        <f t="shared" ref="B35:N35" si="9">Sum(B31:B34)</f>
        <v>346508</v>
      </c>
      <c r="C35" s="133">
        <f t="shared" si="9"/>
        <v>6788</v>
      </c>
      <c r="D35" s="133">
        <f t="shared" si="9"/>
        <v>3234</v>
      </c>
      <c r="E35" s="133">
        <f t="shared" si="9"/>
        <v>2648</v>
      </c>
      <c r="F35" s="133">
        <f t="shared" si="9"/>
        <v>2648</v>
      </c>
      <c r="G35" s="133">
        <f t="shared" si="9"/>
        <v>3148</v>
      </c>
      <c r="H35" s="133">
        <f t="shared" si="9"/>
        <v>2748</v>
      </c>
      <c r="I35" s="133">
        <f t="shared" si="9"/>
        <v>2648</v>
      </c>
      <c r="J35" s="133">
        <f t="shared" si="9"/>
        <v>2648</v>
      </c>
      <c r="K35" s="133">
        <f t="shared" si="9"/>
        <v>2898</v>
      </c>
      <c r="L35" s="133">
        <f t="shared" si="9"/>
        <v>2810</v>
      </c>
      <c r="M35" s="133">
        <f t="shared" si="9"/>
        <v>2703</v>
      </c>
      <c r="N35" s="133">
        <f t="shared" si="9"/>
        <v>3107</v>
      </c>
      <c r="P35" s="135" t="s">
        <v>189</v>
      </c>
      <c r="Q35" s="135">
        <v>5000.0</v>
      </c>
      <c r="S35" s="134">
        <v>45443.0</v>
      </c>
      <c r="T35" s="135">
        <v>408.37</v>
      </c>
      <c r="U35" s="135"/>
      <c r="V35" s="135"/>
      <c r="W35" s="135"/>
      <c r="X35" s="135"/>
      <c r="Y35" s="135"/>
      <c r="Z35" s="135"/>
    </row>
    <row r="36" ht="15.75" customHeight="1">
      <c r="A36" s="133" t="s">
        <v>35</v>
      </c>
      <c r="B36" s="133"/>
      <c r="C36" s="133">
        <f t="shared" ref="C36:N36" si="10">C29-C35</f>
        <v>-3838</v>
      </c>
      <c r="D36" s="133">
        <f t="shared" si="10"/>
        <v>-284</v>
      </c>
      <c r="E36" s="133">
        <f t="shared" si="10"/>
        <v>302</v>
      </c>
      <c r="F36" s="133">
        <f t="shared" si="10"/>
        <v>302</v>
      </c>
      <c r="G36" s="133">
        <f t="shared" si="10"/>
        <v>-198</v>
      </c>
      <c r="H36" s="133">
        <f t="shared" si="10"/>
        <v>202</v>
      </c>
      <c r="I36" s="133">
        <f t="shared" si="10"/>
        <v>302</v>
      </c>
      <c r="J36" s="133">
        <f t="shared" si="10"/>
        <v>302</v>
      </c>
      <c r="K36" s="133">
        <f t="shared" si="10"/>
        <v>52</v>
      </c>
      <c r="L36" s="133">
        <f t="shared" si="10"/>
        <v>140</v>
      </c>
      <c r="M36" s="133">
        <f t="shared" si="10"/>
        <v>247</v>
      </c>
      <c r="N36" s="133">
        <f t="shared" si="10"/>
        <v>-157</v>
      </c>
      <c r="P36" s="135" t="s">
        <v>190</v>
      </c>
      <c r="Q36" s="135">
        <v>7000.0</v>
      </c>
      <c r="S36" s="134">
        <v>45443.0</v>
      </c>
      <c r="T36" s="135">
        <v>264.51</v>
      </c>
      <c r="U36" s="135"/>
      <c r="V36" s="135"/>
      <c r="W36" s="135"/>
      <c r="X36" s="135"/>
      <c r="Y36" s="135"/>
      <c r="Z36" s="135"/>
    </row>
    <row r="37" ht="15.75" customHeight="1">
      <c r="P37" s="135" t="s">
        <v>191</v>
      </c>
      <c r="Q37" s="135">
        <v>2000.0</v>
      </c>
      <c r="S37" s="134">
        <v>45442.0</v>
      </c>
      <c r="T37" s="135">
        <v>1355.57</v>
      </c>
      <c r="U37" s="135"/>
      <c r="V37" s="135"/>
      <c r="W37" s="135"/>
      <c r="X37" s="135"/>
      <c r="Y37" s="135"/>
      <c r="Z37" s="135"/>
    </row>
    <row r="38" ht="15.75" customHeight="1">
      <c r="A38" s="1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135" t="s">
        <v>192</v>
      </c>
      <c r="Q38" s="135">
        <v>3300.0</v>
      </c>
      <c r="R38" s="37"/>
      <c r="S38" s="134">
        <v>45441.0</v>
      </c>
      <c r="T38" s="135">
        <v>1617.43</v>
      </c>
      <c r="U38" s="135"/>
      <c r="V38" s="135"/>
      <c r="W38" s="135"/>
      <c r="X38" s="135"/>
      <c r="Y38" s="135"/>
      <c r="Z38" s="135"/>
      <c r="AA38" s="37"/>
      <c r="AB38" s="37"/>
      <c r="AC38" s="37"/>
      <c r="AD38" s="130"/>
      <c r="AE38" s="130"/>
      <c r="AF38" s="130"/>
    </row>
    <row r="39" ht="15.75" customHeight="1">
      <c r="A39" s="1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135" t="s">
        <v>193</v>
      </c>
      <c r="Q39" s="135">
        <v>2000.0</v>
      </c>
      <c r="R39" s="37"/>
      <c r="S39" s="134">
        <v>45440.0</v>
      </c>
      <c r="T39" s="135">
        <v>1894.95</v>
      </c>
      <c r="U39" s="135"/>
      <c r="V39" s="135"/>
      <c r="W39" s="135"/>
      <c r="X39" s="135"/>
      <c r="Y39" s="135"/>
      <c r="Z39" s="135"/>
      <c r="AA39" s="37"/>
      <c r="AB39" s="37"/>
      <c r="AC39" s="37"/>
      <c r="AD39" s="130"/>
      <c r="AE39" s="130"/>
      <c r="AF39" s="130"/>
    </row>
    <row r="40" ht="15.75" customHeight="1">
      <c r="A40" s="106"/>
      <c r="B40" s="106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37"/>
      <c r="P40" s="135" t="s">
        <v>194</v>
      </c>
      <c r="Q40" s="135">
        <v>7842.34</v>
      </c>
      <c r="R40" s="37"/>
      <c r="S40" s="134">
        <v>45440.0</v>
      </c>
      <c r="T40" s="135">
        <v>868.8</v>
      </c>
      <c r="U40" s="135"/>
      <c r="V40" s="135"/>
      <c r="W40" s="135"/>
      <c r="X40" s="135"/>
      <c r="Y40" s="135"/>
      <c r="Z40" s="135"/>
      <c r="AA40" s="37"/>
      <c r="AB40" s="37"/>
      <c r="AC40" s="37"/>
      <c r="AD40" s="130"/>
      <c r="AE40" s="130"/>
      <c r="AF40" s="130"/>
    </row>
    <row r="41" ht="15.75" customHeight="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135" t="s">
        <v>195</v>
      </c>
      <c r="Q41" s="135">
        <v>8932.16</v>
      </c>
      <c r="R41" s="37"/>
      <c r="S41" s="134"/>
      <c r="T41" s="135"/>
      <c r="U41" s="135"/>
      <c r="V41" s="135"/>
      <c r="W41" s="135"/>
      <c r="X41" s="135"/>
      <c r="Y41" s="135"/>
      <c r="Z41" s="135"/>
      <c r="AA41" s="37"/>
      <c r="AB41" s="37"/>
      <c r="AC41" s="37"/>
    </row>
    <row r="42" ht="15.75" customHeight="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135" t="s">
        <v>196</v>
      </c>
      <c r="Q42" s="135">
        <v>9777.84</v>
      </c>
      <c r="R42" s="37"/>
      <c r="S42" s="135"/>
      <c r="T42" s="135">
        <f>Sum(T29:T41)</f>
        <v>7842.34</v>
      </c>
      <c r="U42" s="135"/>
      <c r="V42" s="135"/>
      <c r="W42" s="135"/>
      <c r="X42" s="135"/>
      <c r="Y42" s="135"/>
      <c r="Z42" s="135"/>
      <c r="AA42" s="37"/>
      <c r="AB42" s="37"/>
      <c r="AC42" s="37"/>
    </row>
    <row r="43" ht="15.75" customHeight="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135" t="s">
        <v>197</v>
      </c>
      <c r="Q43" s="135">
        <f>Sum(Q33:Q42)</f>
        <v>57852.34</v>
      </c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</row>
    <row r="44" ht="15.75" customHeight="1">
      <c r="A44" s="138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129"/>
      <c r="Q44" s="129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</row>
    <row r="45" ht="15.75" customHeight="1">
      <c r="A45" s="138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135" t="s">
        <v>73</v>
      </c>
      <c r="Q45" s="135">
        <f>Q32-Q43</f>
        <v>-2852.34</v>
      </c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</row>
    <row r="46" ht="15.75" customHeight="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138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</row>
    <row r="47" ht="15.75" customHeight="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138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</row>
    <row r="48" ht="15.75" customHeight="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138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</row>
    <row r="49" ht="15.75" customHeight="1">
      <c r="A49" s="112" t="s">
        <v>198</v>
      </c>
      <c r="B49" s="111"/>
      <c r="C49" s="112" t="s">
        <v>0</v>
      </c>
      <c r="D49" s="112" t="s">
        <v>1</v>
      </c>
      <c r="E49" s="112" t="s">
        <v>2</v>
      </c>
      <c r="F49" s="112" t="s">
        <v>3</v>
      </c>
      <c r="G49" s="112" t="s">
        <v>4</v>
      </c>
      <c r="H49" s="112" t="s">
        <v>199</v>
      </c>
      <c r="I49" s="112" t="s">
        <v>52</v>
      </c>
      <c r="J49" s="112" t="s">
        <v>7</v>
      </c>
      <c r="K49" s="112" t="s">
        <v>8</v>
      </c>
      <c r="L49" s="112" t="s">
        <v>9</v>
      </c>
      <c r="M49" s="112" t="s">
        <v>10</v>
      </c>
      <c r="N49" s="112" t="s">
        <v>11</v>
      </c>
      <c r="O49" s="37"/>
      <c r="P49" s="139" t="s">
        <v>200</v>
      </c>
      <c r="Q49" s="139">
        <v>11685.0</v>
      </c>
      <c r="R49" s="140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</row>
    <row r="50" ht="15.75" customHeight="1">
      <c r="A50" s="111" t="s">
        <v>201</v>
      </c>
      <c r="B50" s="111">
        <v>6000.0</v>
      </c>
      <c r="C50" s="112">
        <v>0.0</v>
      </c>
      <c r="D50" s="112">
        <v>0.0</v>
      </c>
      <c r="E50" s="112">
        <v>0.0</v>
      </c>
      <c r="F50" s="112">
        <v>0.0</v>
      </c>
      <c r="G50" s="112">
        <v>0.0</v>
      </c>
      <c r="H50" s="112">
        <v>287.0</v>
      </c>
      <c r="I50" s="112">
        <v>282.0</v>
      </c>
      <c r="J50" s="112">
        <v>326.0</v>
      </c>
      <c r="K50" s="112">
        <v>280.0</v>
      </c>
      <c r="L50" s="112">
        <v>292.0</v>
      </c>
      <c r="M50" s="112">
        <v>288.0</v>
      </c>
      <c r="N50" s="112">
        <v>561.0</v>
      </c>
      <c r="O50" s="37"/>
      <c r="P50" s="139" t="s">
        <v>202</v>
      </c>
      <c r="Q50" s="139">
        <v>500.0</v>
      </c>
      <c r="R50" s="139" t="s">
        <v>203</v>
      </c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</row>
    <row r="51" ht="15.75" customHeight="1">
      <c r="A51" s="112"/>
      <c r="B51" s="112"/>
      <c r="C51" s="112"/>
      <c r="D51" s="112"/>
      <c r="E51" s="112"/>
      <c r="F51" s="112"/>
      <c r="G51" s="112"/>
      <c r="H51" s="112"/>
      <c r="I51" s="112"/>
      <c r="J51" s="112"/>
      <c r="K51" s="112"/>
      <c r="L51" s="112"/>
      <c r="M51" s="112"/>
      <c r="N51" s="112"/>
      <c r="O51" s="37"/>
      <c r="P51" s="139" t="s">
        <v>204</v>
      </c>
      <c r="Q51" s="139">
        <v>1000.0</v>
      </c>
      <c r="R51" s="139">
        <v>1500.0</v>
      </c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</row>
    <row r="52" ht="15.75" customHeight="1">
      <c r="A52" s="111"/>
      <c r="B52" s="111"/>
      <c r="C52" s="111"/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37"/>
      <c r="P52" s="139" t="s">
        <v>205</v>
      </c>
      <c r="Q52" s="139">
        <v>1000.0</v>
      </c>
      <c r="R52" s="139">
        <v>2500.0</v>
      </c>
    </row>
    <row r="53" ht="15.75" customHeight="1">
      <c r="P53" s="139" t="s">
        <v>206</v>
      </c>
      <c r="Q53" s="139">
        <v>1000.0</v>
      </c>
      <c r="R53" s="139">
        <v>3500.0</v>
      </c>
    </row>
    <row r="54" ht="15.75" customHeight="1">
      <c r="P54" s="139" t="s">
        <v>207</v>
      </c>
      <c r="Q54" s="139">
        <v>2500.0</v>
      </c>
      <c r="R54" s="139">
        <v>6000.0</v>
      </c>
      <c r="S54" s="131"/>
    </row>
    <row r="55" ht="15.75" customHeight="1">
      <c r="A55" s="128"/>
      <c r="P55" s="140"/>
      <c r="Q55" s="140"/>
      <c r="R55" s="139">
        <v>1000.0</v>
      </c>
      <c r="S55" s="131" t="s">
        <v>208</v>
      </c>
    </row>
    <row r="56" ht="15.75" customHeight="1">
      <c r="A56" s="141"/>
      <c r="B56" s="141"/>
      <c r="C56" s="141"/>
      <c r="D56" s="141"/>
      <c r="P56" s="139" t="s">
        <v>209</v>
      </c>
      <c r="Q56" s="139">
        <v>1000.0</v>
      </c>
      <c r="R56" s="139">
        <v>2000.0</v>
      </c>
    </row>
    <row r="57" ht="15.75" customHeight="1">
      <c r="A57" s="141"/>
      <c r="B57" s="142"/>
      <c r="C57" s="143"/>
      <c r="D57" s="143"/>
      <c r="P57" s="139" t="s">
        <v>210</v>
      </c>
      <c r="Q57" s="139">
        <v>2750.0</v>
      </c>
      <c r="R57" s="139" t="s">
        <v>211</v>
      </c>
      <c r="S57" s="131" t="s">
        <v>212</v>
      </c>
    </row>
    <row r="58" ht="15.75" customHeight="1">
      <c r="A58" s="141"/>
      <c r="B58" s="142"/>
      <c r="C58" s="143"/>
      <c r="D58" s="143"/>
      <c r="P58" s="139" t="s">
        <v>213</v>
      </c>
      <c r="Q58" s="139">
        <f>Sum(Q50:Q57)</f>
        <v>9750</v>
      </c>
      <c r="R58" s="140"/>
    </row>
    <row r="59" ht="15.75" customHeight="1">
      <c r="A59" s="141"/>
      <c r="B59" s="142"/>
      <c r="C59" s="143"/>
      <c r="D59" s="143"/>
      <c r="P59" s="140" t="s">
        <v>73</v>
      </c>
      <c r="Q59" s="139">
        <f>Q49-Q58</f>
        <v>1935</v>
      </c>
      <c r="R59" s="140"/>
    </row>
    <row r="60" ht="15.75" customHeight="1">
      <c r="A60" s="141"/>
      <c r="B60" s="142"/>
      <c r="C60" s="143"/>
      <c r="D60" s="143"/>
    </row>
    <row r="61" ht="15.75" customHeight="1">
      <c r="A61" s="141"/>
      <c r="B61" s="142"/>
      <c r="C61" s="143"/>
      <c r="D61" s="143"/>
    </row>
    <row r="62" ht="15.75" customHeight="1">
      <c r="A62" s="141"/>
      <c r="B62" s="142"/>
      <c r="C62" s="143"/>
      <c r="D62" s="143"/>
    </row>
    <row r="63" ht="15.75" customHeight="1">
      <c r="A63" s="141"/>
      <c r="B63" s="142"/>
      <c r="C63" s="143"/>
      <c r="D63" s="143"/>
    </row>
    <row r="64" ht="15.75" customHeight="1">
      <c r="A64" s="141"/>
      <c r="B64" s="142"/>
      <c r="C64" s="143"/>
      <c r="D64" s="143"/>
    </row>
    <row r="65" ht="15.75" customHeight="1">
      <c r="A65" s="141"/>
      <c r="B65" s="142"/>
      <c r="C65" s="143"/>
      <c r="D65" s="143"/>
    </row>
    <row r="66" ht="15.75" customHeight="1">
      <c r="A66" s="141"/>
      <c r="B66" s="142"/>
      <c r="C66" s="143"/>
      <c r="D66" s="143"/>
    </row>
    <row r="67" ht="15.75" customHeight="1">
      <c r="A67" s="141"/>
      <c r="B67" s="142"/>
      <c r="C67" s="143"/>
      <c r="D67" s="143"/>
    </row>
    <row r="68" ht="15.75" customHeight="1">
      <c r="A68" s="141"/>
      <c r="B68" s="142"/>
      <c r="C68" s="143"/>
      <c r="D68" s="143"/>
    </row>
    <row r="69" ht="15.75" customHeight="1">
      <c r="A69" s="141"/>
      <c r="B69" s="142"/>
      <c r="C69" s="143"/>
      <c r="D69" s="143"/>
    </row>
    <row r="70" ht="15.75" customHeight="1">
      <c r="A70" s="141"/>
      <c r="B70" s="142"/>
      <c r="C70" s="143"/>
      <c r="D70" s="143"/>
    </row>
    <row r="71" ht="15.75" customHeight="1">
      <c r="A71" s="141"/>
      <c r="B71" s="142"/>
      <c r="C71" s="143"/>
      <c r="D71" s="143"/>
    </row>
    <row r="72" ht="15.75" customHeight="1">
      <c r="A72" s="141"/>
      <c r="B72" s="142"/>
      <c r="C72" s="143"/>
      <c r="D72" s="143"/>
    </row>
    <row r="73" ht="15.75" customHeight="1">
      <c r="A73" s="141"/>
      <c r="B73" s="142"/>
      <c r="C73" s="143"/>
      <c r="D73" s="143"/>
    </row>
    <row r="74" ht="15.75" customHeight="1">
      <c r="A74" s="141"/>
      <c r="B74" s="142"/>
      <c r="C74" s="143"/>
      <c r="D74" s="143"/>
    </row>
    <row r="75" ht="15.75" customHeight="1">
      <c r="A75" s="141"/>
      <c r="B75" s="142"/>
      <c r="C75" s="143"/>
      <c r="D75" s="143"/>
    </row>
    <row r="76" ht="15.75" customHeight="1">
      <c r="A76" s="141"/>
      <c r="B76" s="142"/>
      <c r="C76" s="143"/>
      <c r="D76" s="143"/>
    </row>
    <row r="77" ht="15.75" customHeight="1">
      <c r="A77" s="141"/>
      <c r="B77" s="142"/>
      <c r="C77" s="143"/>
      <c r="D77" s="143"/>
    </row>
    <row r="78" ht="15.75" customHeight="1">
      <c r="A78" s="141"/>
      <c r="B78" s="142"/>
      <c r="C78" s="143"/>
      <c r="D78" s="143"/>
    </row>
    <row r="79" ht="15.75" customHeight="1">
      <c r="A79" s="141"/>
      <c r="B79" s="142"/>
      <c r="C79" s="143"/>
      <c r="D79" s="143"/>
    </row>
    <row r="80" ht="15.75" customHeight="1">
      <c r="A80" s="141"/>
      <c r="B80" s="142"/>
      <c r="C80" s="143"/>
      <c r="D80" s="143"/>
    </row>
    <row r="81" ht="15.75" customHeight="1">
      <c r="A81" s="141"/>
      <c r="B81" s="142"/>
      <c r="C81" s="143"/>
      <c r="D81" s="143"/>
    </row>
    <row r="82" ht="15.75" customHeight="1">
      <c r="A82" s="141"/>
      <c r="B82" s="142"/>
      <c r="C82" s="143"/>
      <c r="D82" s="143"/>
    </row>
    <row r="83" ht="15.75" customHeight="1">
      <c r="A83" s="141"/>
      <c r="B83" s="142"/>
      <c r="C83" s="143"/>
      <c r="D83" s="143"/>
    </row>
    <row r="84" ht="15.75" customHeight="1">
      <c r="A84" s="141"/>
      <c r="B84" s="142"/>
      <c r="C84" s="143"/>
      <c r="D84" s="143"/>
    </row>
    <row r="85" ht="15.75" customHeight="1">
      <c r="A85" s="141"/>
      <c r="B85" s="142"/>
      <c r="C85" s="143"/>
      <c r="D85" s="143"/>
    </row>
    <row r="86" ht="15.75" customHeight="1">
      <c r="A86" s="141"/>
      <c r="B86" s="142"/>
      <c r="C86" s="143"/>
      <c r="D86" s="143"/>
    </row>
    <row r="87" ht="15.75" customHeight="1">
      <c r="A87" s="141"/>
      <c r="B87" s="142"/>
      <c r="C87" s="143"/>
      <c r="D87" s="143"/>
    </row>
    <row r="88" ht="15.75" customHeight="1">
      <c r="A88" s="141"/>
      <c r="B88" s="142"/>
      <c r="C88" s="143"/>
      <c r="D88" s="143"/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9.0"/>
    <col customWidth="1" min="2" max="2" width="10.88"/>
    <col customWidth="1" min="3" max="14" width="5.13"/>
    <col customWidth="1" min="15" max="15" width="2.25"/>
    <col customWidth="1" min="16" max="16" width="22.75"/>
    <col customWidth="1" min="17" max="17" width="8.13"/>
    <col customWidth="1" min="18" max="18" width="4.75"/>
    <col customWidth="1" min="19" max="19" width="5.63"/>
    <col customWidth="1" min="20" max="20" width="4.75"/>
    <col customWidth="1" min="21" max="23" width="5.63"/>
    <col customWidth="1" min="24" max="28" width="4.75"/>
    <col customWidth="1" min="29" max="29" width="5.5"/>
  </cols>
  <sheetData>
    <row r="1" ht="15.75" customHeight="1">
      <c r="A1" s="144" t="s">
        <v>214</v>
      </c>
      <c r="B1" s="145" t="s">
        <v>71</v>
      </c>
      <c r="C1" s="145" t="s">
        <v>0</v>
      </c>
      <c r="D1" s="145" t="s">
        <v>1</v>
      </c>
      <c r="E1" s="145" t="s">
        <v>2</v>
      </c>
      <c r="F1" s="145" t="s">
        <v>3</v>
      </c>
      <c r="G1" s="145" t="s">
        <v>4</v>
      </c>
      <c r="H1" s="145" t="s">
        <v>5</v>
      </c>
      <c r="I1" s="145" t="s">
        <v>6</v>
      </c>
      <c r="J1" s="145" t="s">
        <v>7</v>
      </c>
      <c r="K1" s="145" t="s">
        <v>8</v>
      </c>
      <c r="L1" s="145" t="s">
        <v>9</v>
      </c>
      <c r="M1" s="145" t="s">
        <v>10</v>
      </c>
      <c r="N1" s="146" t="s">
        <v>11</v>
      </c>
      <c r="O1" s="147"/>
      <c r="P1" s="148" t="s">
        <v>215</v>
      </c>
      <c r="Q1" s="148" t="s">
        <v>73</v>
      </c>
      <c r="R1" s="148" t="s">
        <v>0</v>
      </c>
      <c r="S1" s="148" t="s">
        <v>1</v>
      </c>
      <c r="T1" s="148" t="s">
        <v>2</v>
      </c>
      <c r="U1" s="148" t="s">
        <v>3</v>
      </c>
      <c r="V1" s="148" t="s">
        <v>4</v>
      </c>
      <c r="W1" s="148" t="s">
        <v>5</v>
      </c>
      <c r="X1" s="148" t="s">
        <v>6</v>
      </c>
      <c r="Y1" s="148" t="s">
        <v>74</v>
      </c>
      <c r="Z1" s="148" t="s">
        <v>8</v>
      </c>
      <c r="AA1" s="148" t="s">
        <v>9</v>
      </c>
      <c r="AB1" s="148" t="s">
        <v>10</v>
      </c>
      <c r="AC1" s="148" t="s">
        <v>11</v>
      </c>
    </row>
    <row r="2" ht="15.75" customHeight="1">
      <c r="A2" s="149" t="s">
        <v>216</v>
      </c>
      <c r="B2" s="150"/>
      <c r="C2" s="150">
        <v>7802.0</v>
      </c>
      <c r="D2" s="150">
        <v>6850.0</v>
      </c>
      <c r="E2" s="150">
        <v>12003.0</v>
      </c>
      <c r="F2" s="150">
        <v>7699.0</v>
      </c>
      <c r="G2" s="150">
        <v>7708.0</v>
      </c>
      <c r="H2" s="150">
        <v>7897.0</v>
      </c>
      <c r="I2" s="150">
        <v>7165.0</v>
      </c>
      <c r="J2" s="150">
        <v>7465.0</v>
      </c>
      <c r="K2" s="150">
        <v>4359.0</v>
      </c>
      <c r="L2" s="150">
        <v>8516.0</v>
      </c>
      <c r="M2" s="150">
        <v>5063.0</v>
      </c>
      <c r="N2" s="150">
        <v>4681.0</v>
      </c>
      <c r="P2" s="151" t="s">
        <v>217</v>
      </c>
      <c r="Q2" s="152">
        <v>0.0</v>
      </c>
      <c r="R2" s="153">
        <v>1272.0</v>
      </c>
      <c r="S2" s="154">
        <v>1292.0</v>
      </c>
      <c r="T2" s="154">
        <v>1292.0</v>
      </c>
      <c r="U2" s="154">
        <v>1292.0</v>
      </c>
      <c r="V2" s="154">
        <v>1292.0</v>
      </c>
      <c r="W2" s="154">
        <v>2584.0</v>
      </c>
      <c r="X2" s="154">
        <v>1403.0</v>
      </c>
      <c r="Y2" s="154">
        <v>1403.0</v>
      </c>
      <c r="Z2" s="154">
        <v>1403.0</v>
      </c>
      <c r="AA2" s="154">
        <v>1477.0</v>
      </c>
      <c r="AB2" s="154">
        <v>2020.0</v>
      </c>
      <c r="AC2" s="154">
        <v>2224.0</v>
      </c>
    </row>
    <row r="3" ht="15.75" customHeight="1">
      <c r="A3" s="155" t="s">
        <v>218</v>
      </c>
      <c r="B3" s="156">
        <v>636292.0</v>
      </c>
      <c r="C3" s="150">
        <v>1625.0</v>
      </c>
      <c r="D3" s="150">
        <v>1625.0</v>
      </c>
      <c r="E3" s="150">
        <v>1625.0</v>
      </c>
      <c r="F3" s="150">
        <v>1625.0</v>
      </c>
      <c r="G3" s="150">
        <v>0.0</v>
      </c>
      <c r="H3" s="150">
        <v>1625.0</v>
      </c>
      <c r="I3" s="150">
        <v>1625.0</v>
      </c>
      <c r="J3" s="150">
        <v>1625.0</v>
      </c>
      <c r="K3" s="150">
        <v>1625.0</v>
      </c>
      <c r="L3" s="150">
        <v>1625.0</v>
      </c>
      <c r="M3" s="150">
        <v>1625.0</v>
      </c>
      <c r="N3" s="150">
        <v>1625.0</v>
      </c>
      <c r="P3" s="157" t="s">
        <v>219</v>
      </c>
      <c r="Q3" s="158">
        <v>0.0</v>
      </c>
      <c r="R3" s="154">
        <v>250.0</v>
      </c>
      <c r="S3" s="154">
        <v>250.0</v>
      </c>
      <c r="T3" s="154">
        <v>250.0</v>
      </c>
      <c r="U3" s="154">
        <v>250.0</v>
      </c>
      <c r="V3" s="154">
        <v>250.0</v>
      </c>
      <c r="W3" s="154">
        <v>250.0</v>
      </c>
      <c r="X3" s="154">
        <v>250.0</v>
      </c>
      <c r="Y3" s="154">
        <v>0.0</v>
      </c>
      <c r="Z3" s="154">
        <v>250.0</v>
      </c>
      <c r="AA3" s="154">
        <v>250.0</v>
      </c>
      <c r="AB3" s="154">
        <v>250.0</v>
      </c>
      <c r="AC3" s="154">
        <v>250.0</v>
      </c>
    </row>
    <row r="4" ht="15.75" customHeight="1">
      <c r="A4" s="155" t="s">
        <v>220</v>
      </c>
      <c r="B4" s="156">
        <v>354106.0</v>
      </c>
      <c r="C4" s="150">
        <v>1600.0</v>
      </c>
      <c r="D4" s="150">
        <v>1950.0</v>
      </c>
      <c r="E4" s="150">
        <v>1950.0</v>
      </c>
      <c r="F4" s="150">
        <v>1950.0</v>
      </c>
      <c r="G4" s="150">
        <v>2950.0</v>
      </c>
      <c r="H4" s="150">
        <v>2950.0</v>
      </c>
      <c r="I4" s="150">
        <v>2950.0</v>
      </c>
      <c r="J4" s="150">
        <v>3250.0</v>
      </c>
      <c r="K4" s="150">
        <v>0.0</v>
      </c>
      <c r="L4" s="150">
        <v>0.0</v>
      </c>
      <c r="M4" s="150">
        <v>0.0</v>
      </c>
      <c r="N4" s="150">
        <v>0.0</v>
      </c>
      <c r="P4" s="157" t="s">
        <v>221</v>
      </c>
      <c r="Q4" s="158">
        <v>72800.0</v>
      </c>
      <c r="R4" s="154">
        <v>200.0</v>
      </c>
      <c r="S4" s="154">
        <v>200.0</v>
      </c>
      <c r="T4" s="154">
        <v>0.0</v>
      </c>
      <c r="U4" s="154">
        <v>0.0</v>
      </c>
      <c r="V4" s="154">
        <v>0.0</v>
      </c>
      <c r="W4" s="154">
        <v>0.0</v>
      </c>
      <c r="X4" s="154">
        <v>300.0</v>
      </c>
      <c r="Y4" s="154">
        <v>303.0</v>
      </c>
      <c r="Z4" s="154">
        <v>550.0</v>
      </c>
      <c r="AA4" s="154">
        <v>550.0</v>
      </c>
      <c r="AB4" s="154">
        <v>550.0</v>
      </c>
      <c r="AC4" s="154">
        <v>740.0</v>
      </c>
    </row>
    <row r="5" ht="15.75" customHeight="1">
      <c r="A5" s="155" t="s">
        <v>222</v>
      </c>
      <c r="B5" s="156" t="s">
        <v>223</v>
      </c>
      <c r="C5" s="150">
        <v>342.0</v>
      </c>
      <c r="D5" s="150">
        <v>0.0</v>
      </c>
      <c r="E5" s="150">
        <v>0.0</v>
      </c>
      <c r="F5" s="150">
        <v>324.0</v>
      </c>
      <c r="G5" s="150">
        <v>324.0</v>
      </c>
      <c r="H5" s="150">
        <v>324.0</v>
      </c>
      <c r="I5" s="150">
        <v>324.0</v>
      </c>
      <c r="J5" s="150">
        <v>324.0</v>
      </c>
      <c r="K5" s="150">
        <v>0.0</v>
      </c>
      <c r="L5" s="150">
        <v>324.0</v>
      </c>
      <c r="M5" s="150">
        <v>324.0</v>
      </c>
      <c r="N5" s="150">
        <v>324.0</v>
      </c>
      <c r="P5" s="157" t="s">
        <v>224</v>
      </c>
      <c r="Q5" s="158">
        <v>0.0</v>
      </c>
      <c r="R5" s="154">
        <v>0.0</v>
      </c>
      <c r="S5" s="154">
        <v>642.0</v>
      </c>
      <c r="T5" s="154">
        <v>42.0</v>
      </c>
      <c r="U5" s="154">
        <v>42.0</v>
      </c>
      <c r="V5" s="154">
        <v>42.0</v>
      </c>
      <c r="W5" s="154">
        <v>1000.0</v>
      </c>
      <c r="X5" s="154">
        <v>3.0</v>
      </c>
      <c r="Y5" s="154">
        <v>100.0</v>
      </c>
      <c r="Z5" s="154">
        <v>100.0</v>
      </c>
      <c r="AA5" s="154">
        <v>150.0</v>
      </c>
      <c r="AB5" s="154">
        <v>100.0</v>
      </c>
      <c r="AC5" s="154">
        <v>260.0</v>
      </c>
    </row>
    <row r="6" ht="15.75" customHeight="1">
      <c r="A6" s="155" t="s">
        <v>106</v>
      </c>
      <c r="B6" s="156">
        <v>0.0</v>
      </c>
      <c r="C6" s="150">
        <v>1500.0</v>
      </c>
      <c r="D6" s="150">
        <v>1500.0</v>
      </c>
      <c r="E6" s="150">
        <v>6500.0</v>
      </c>
      <c r="F6" s="150">
        <v>2250.0</v>
      </c>
      <c r="G6" s="150">
        <v>3000.0</v>
      </c>
      <c r="H6" s="150">
        <v>1500.0</v>
      </c>
      <c r="I6" s="150">
        <v>1000.0</v>
      </c>
      <c r="J6" s="150">
        <v>397.0</v>
      </c>
      <c r="K6" s="150">
        <v>1750.0</v>
      </c>
      <c r="L6" s="150">
        <v>3557.0</v>
      </c>
      <c r="M6" s="150">
        <v>1560.0</v>
      </c>
      <c r="N6" s="150">
        <v>850.0</v>
      </c>
      <c r="P6" s="157" t="s">
        <v>225</v>
      </c>
      <c r="Q6" s="158">
        <v>5174.0</v>
      </c>
      <c r="R6" s="154">
        <v>822.0</v>
      </c>
      <c r="S6" s="154">
        <v>200.0</v>
      </c>
      <c r="T6" s="154">
        <v>1000.0</v>
      </c>
      <c r="U6" s="154">
        <v>1000.0</v>
      </c>
      <c r="V6" s="154">
        <v>1000.0</v>
      </c>
      <c r="W6" s="154">
        <v>1334.0</v>
      </c>
      <c r="X6" s="154">
        <v>850.0</v>
      </c>
      <c r="Y6" s="154">
        <v>1000.0</v>
      </c>
      <c r="Z6" s="154">
        <v>503.0</v>
      </c>
      <c r="AA6" s="154">
        <v>527.0</v>
      </c>
      <c r="AB6" s="154">
        <v>1120.0</v>
      </c>
      <c r="AC6" s="154">
        <v>974.0</v>
      </c>
    </row>
    <row r="7" ht="15.75" customHeight="1">
      <c r="A7" s="155" t="s">
        <v>226</v>
      </c>
      <c r="B7" s="156">
        <v>9504.0</v>
      </c>
      <c r="C7" s="150">
        <v>0.0</v>
      </c>
      <c r="D7" s="150">
        <v>0.0</v>
      </c>
      <c r="E7" s="150">
        <v>0.0</v>
      </c>
      <c r="F7" s="150">
        <v>0.0</v>
      </c>
      <c r="G7" s="150">
        <v>0.0</v>
      </c>
      <c r="H7" s="150">
        <v>0.0</v>
      </c>
      <c r="I7" s="150">
        <v>0.0</v>
      </c>
      <c r="J7" s="150">
        <v>0.0</v>
      </c>
      <c r="K7" s="150">
        <v>201.0</v>
      </c>
      <c r="L7" s="150">
        <v>250.0</v>
      </c>
      <c r="M7" s="150">
        <v>250.0</v>
      </c>
      <c r="N7" s="150">
        <v>250.0</v>
      </c>
      <c r="P7" s="157"/>
      <c r="Q7" s="158"/>
      <c r="R7" s="158"/>
      <c r="S7" s="158"/>
      <c r="T7" s="154"/>
      <c r="U7" s="154"/>
      <c r="V7" s="158"/>
      <c r="W7" s="154"/>
      <c r="X7" s="158"/>
      <c r="Y7" s="154"/>
      <c r="Z7" s="158"/>
      <c r="AA7" s="158"/>
      <c r="AB7" s="158"/>
      <c r="AC7" s="158"/>
    </row>
    <row r="8" ht="15.75" customHeight="1">
      <c r="A8" s="155" t="s">
        <v>227</v>
      </c>
      <c r="B8" s="156" t="s">
        <v>223</v>
      </c>
      <c r="C8" s="150">
        <v>89.0</v>
      </c>
      <c r="D8" s="150">
        <v>0.0</v>
      </c>
      <c r="E8" s="150">
        <v>0.0</v>
      </c>
      <c r="F8" s="150">
        <v>89.0</v>
      </c>
      <c r="G8" s="150">
        <v>89.0</v>
      </c>
      <c r="H8" s="150">
        <v>89.0</v>
      </c>
      <c r="I8" s="150">
        <v>89.0</v>
      </c>
      <c r="J8" s="150">
        <v>113.0</v>
      </c>
      <c r="K8" s="150">
        <v>0.0</v>
      </c>
      <c r="L8" s="150">
        <v>89.0</v>
      </c>
      <c r="M8" s="150">
        <v>89.0</v>
      </c>
      <c r="N8" s="150">
        <v>89.0</v>
      </c>
      <c r="P8" s="157"/>
      <c r="Q8" s="158"/>
      <c r="R8" s="158"/>
      <c r="S8" s="158"/>
      <c r="T8" s="154"/>
      <c r="U8" s="154"/>
      <c r="V8" s="158"/>
      <c r="W8" s="154"/>
      <c r="X8" s="158"/>
      <c r="Y8" s="154"/>
      <c r="Z8" s="158"/>
      <c r="AA8" s="158"/>
      <c r="AB8" s="158"/>
      <c r="AC8" s="158"/>
    </row>
    <row r="9" ht="15.75" customHeight="1">
      <c r="A9" s="155" t="s">
        <v>92</v>
      </c>
      <c r="B9" s="156">
        <v>0.0</v>
      </c>
      <c r="C9" s="150">
        <v>55.0</v>
      </c>
      <c r="D9" s="150">
        <v>91.0</v>
      </c>
      <c r="E9" s="150">
        <v>261.0</v>
      </c>
      <c r="F9" s="150">
        <v>222.0</v>
      </c>
      <c r="G9" s="150">
        <v>328.0</v>
      </c>
      <c r="H9" s="150">
        <v>137.0</v>
      </c>
      <c r="I9" s="150">
        <v>168.0</v>
      </c>
      <c r="J9" s="150">
        <v>444.0</v>
      </c>
      <c r="K9" s="150">
        <v>140.0</v>
      </c>
      <c r="L9" s="150">
        <v>507.0</v>
      </c>
      <c r="M9" s="150">
        <v>310.0</v>
      </c>
      <c r="N9" s="150">
        <v>469.0</v>
      </c>
      <c r="P9" s="157"/>
      <c r="Q9" s="158"/>
      <c r="R9" s="158"/>
      <c r="S9" s="158"/>
      <c r="T9" s="154"/>
      <c r="U9" s="154"/>
      <c r="V9" s="158"/>
      <c r="W9" s="154"/>
      <c r="X9" s="158"/>
      <c r="Y9" s="154"/>
      <c r="Z9" s="158"/>
      <c r="AA9" s="158"/>
      <c r="AB9" s="158"/>
      <c r="AC9" s="158"/>
    </row>
    <row r="10" ht="15.75" customHeight="1">
      <c r="A10" s="155" t="s">
        <v>228</v>
      </c>
      <c r="B10" s="156" t="s">
        <v>223</v>
      </c>
      <c r="C10" s="150">
        <v>79.0</v>
      </c>
      <c r="D10" s="150">
        <v>410.0</v>
      </c>
      <c r="E10" s="150">
        <v>406.0</v>
      </c>
      <c r="F10" s="150">
        <v>342.0</v>
      </c>
      <c r="G10" s="150">
        <v>251.0</v>
      </c>
      <c r="H10" s="150">
        <v>232.0</v>
      </c>
      <c r="I10" s="150">
        <v>234.0</v>
      </c>
      <c r="J10" s="150">
        <v>243.0</v>
      </c>
      <c r="K10" s="150">
        <v>0.0</v>
      </c>
      <c r="L10" s="150">
        <v>279.0</v>
      </c>
      <c r="M10" s="150">
        <v>180.0</v>
      </c>
      <c r="N10" s="150">
        <v>235.0</v>
      </c>
      <c r="P10" s="159"/>
      <c r="Q10" s="158"/>
      <c r="R10" s="158"/>
      <c r="S10" s="158"/>
      <c r="T10" s="154"/>
      <c r="U10" s="154"/>
      <c r="V10" s="158"/>
      <c r="W10" s="154"/>
      <c r="X10" s="158"/>
      <c r="Y10" s="154"/>
      <c r="Z10" s="158"/>
      <c r="AA10" s="158"/>
      <c r="AB10" s="158"/>
      <c r="AC10" s="158"/>
    </row>
    <row r="11" ht="15.75" customHeight="1">
      <c r="A11" s="155" t="s">
        <v>229</v>
      </c>
      <c r="B11" s="156" t="s">
        <v>223</v>
      </c>
      <c r="C11" s="150">
        <v>76.0</v>
      </c>
      <c r="D11" s="150">
        <v>160.0</v>
      </c>
      <c r="E11" s="150">
        <v>142.0</v>
      </c>
      <c r="F11" s="150">
        <v>122.0</v>
      </c>
      <c r="G11" s="150">
        <v>0.0</v>
      </c>
      <c r="H11" s="150">
        <v>183.0</v>
      </c>
      <c r="I11" s="150">
        <v>0.0</v>
      </c>
      <c r="J11" s="150">
        <v>0.0</v>
      </c>
      <c r="K11" s="150">
        <v>0.0</v>
      </c>
      <c r="L11" s="150">
        <v>0.0</v>
      </c>
      <c r="M11" s="150">
        <v>0.0</v>
      </c>
      <c r="N11" s="150">
        <v>0.0</v>
      </c>
      <c r="P11" s="160" t="s">
        <v>91</v>
      </c>
      <c r="Q11" s="158">
        <f t="shared" ref="Q11:AC11" si="1">Sum(Q3:Q10)</f>
        <v>77974</v>
      </c>
      <c r="R11" s="154">
        <f t="shared" si="1"/>
        <v>1272</v>
      </c>
      <c r="S11" s="154">
        <f t="shared" si="1"/>
        <v>1292</v>
      </c>
      <c r="T11" s="154">
        <f t="shared" si="1"/>
        <v>1292</v>
      </c>
      <c r="U11" s="154">
        <f t="shared" si="1"/>
        <v>1292</v>
      </c>
      <c r="V11" s="154">
        <f t="shared" si="1"/>
        <v>1292</v>
      </c>
      <c r="W11" s="154">
        <f t="shared" si="1"/>
        <v>2584</v>
      </c>
      <c r="X11" s="154">
        <f t="shared" si="1"/>
        <v>1403</v>
      </c>
      <c r="Y11" s="154">
        <f t="shared" si="1"/>
        <v>1403</v>
      </c>
      <c r="Z11" s="154">
        <f t="shared" si="1"/>
        <v>1403</v>
      </c>
      <c r="AA11" s="154">
        <f t="shared" si="1"/>
        <v>1477</v>
      </c>
      <c r="AB11" s="154">
        <f t="shared" si="1"/>
        <v>2020</v>
      </c>
      <c r="AC11" s="154">
        <f t="shared" si="1"/>
        <v>2224</v>
      </c>
    </row>
    <row r="12" ht="15.75" customHeight="1">
      <c r="A12" s="155" t="s">
        <v>230</v>
      </c>
      <c r="B12" s="156">
        <v>0.0</v>
      </c>
      <c r="C12" s="150">
        <v>321.0</v>
      </c>
      <c r="D12" s="150">
        <v>687.0</v>
      </c>
      <c r="E12" s="150">
        <v>193.0</v>
      </c>
      <c r="F12" s="150">
        <v>274.0</v>
      </c>
      <c r="G12" s="150">
        <v>132.0</v>
      </c>
      <c r="H12" s="150">
        <v>540.0</v>
      </c>
      <c r="I12" s="150">
        <v>259.0</v>
      </c>
      <c r="J12" s="150">
        <v>265.0</v>
      </c>
      <c r="K12" s="150">
        <v>0.0</v>
      </c>
      <c r="L12" s="150">
        <v>231.0</v>
      </c>
      <c r="M12" s="150">
        <v>0.0</v>
      </c>
      <c r="N12" s="150">
        <v>68.0</v>
      </c>
      <c r="P12" s="148" t="s">
        <v>231</v>
      </c>
      <c r="Q12" s="148" t="s">
        <v>73</v>
      </c>
      <c r="R12" s="148" t="s">
        <v>0</v>
      </c>
      <c r="S12" s="148" t="s">
        <v>1</v>
      </c>
      <c r="T12" s="148" t="s">
        <v>2</v>
      </c>
      <c r="U12" s="148" t="s">
        <v>3</v>
      </c>
      <c r="V12" s="148" t="s">
        <v>4</v>
      </c>
      <c r="W12" s="148" t="s">
        <v>5</v>
      </c>
      <c r="X12" s="148" t="s">
        <v>6</v>
      </c>
      <c r="Y12" s="148" t="s">
        <v>74</v>
      </c>
      <c r="Z12" s="148" t="s">
        <v>8</v>
      </c>
      <c r="AA12" s="148" t="s">
        <v>9</v>
      </c>
      <c r="AB12" s="148" t="s">
        <v>10</v>
      </c>
      <c r="AC12" s="148" t="s">
        <v>11</v>
      </c>
    </row>
    <row r="13" ht="15.75" customHeight="1">
      <c r="A13" s="155" t="s">
        <v>232</v>
      </c>
      <c r="B13" s="156">
        <v>4000.0</v>
      </c>
      <c r="C13" s="150">
        <v>278.0</v>
      </c>
      <c r="D13" s="150">
        <v>278.0</v>
      </c>
      <c r="E13" s="150">
        <v>278.0</v>
      </c>
      <c r="F13" s="150">
        <v>278.0</v>
      </c>
      <c r="G13" s="150">
        <v>278.0</v>
      </c>
      <c r="H13" s="150">
        <v>278.0</v>
      </c>
      <c r="I13" s="150">
        <v>278.0</v>
      </c>
      <c r="J13" s="150">
        <v>278.0</v>
      </c>
      <c r="K13" s="150">
        <v>278.0</v>
      </c>
      <c r="L13" s="150">
        <v>1499.0</v>
      </c>
      <c r="M13" s="150">
        <v>278.0</v>
      </c>
      <c r="N13" s="150">
        <v>278.0</v>
      </c>
      <c r="P13" s="151" t="s">
        <v>233</v>
      </c>
      <c r="Q13" s="158">
        <v>0.0</v>
      </c>
      <c r="R13" s="154">
        <v>1308.0</v>
      </c>
      <c r="S13" s="154">
        <v>1292.0</v>
      </c>
      <c r="T13" s="154">
        <v>1292.0</v>
      </c>
      <c r="U13" s="154">
        <v>1292.0</v>
      </c>
      <c r="V13" s="154">
        <v>1292.0</v>
      </c>
      <c r="W13" s="154">
        <v>1607.0</v>
      </c>
      <c r="X13" s="154">
        <v>1403.0</v>
      </c>
      <c r="Y13" s="154">
        <v>1403.0</v>
      </c>
      <c r="Z13" s="154">
        <v>1403.0</v>
      </c>
      <c r="AA13" s="154">
        <v>1403.0</v>
      </c>
      <c r="AB13" s="154">
        <v>2658.0</v>
      </c>
      <c r="AC13" s="154">
        <v>2098.0</v>
      </c>
    </row>
    <row r="14" ht="15.75" customHeight="1">
      <c r="A14" s="161" t="s">
        <v>33</v>
      </c>
      <c r="B14" s="156">
        <f t="shared" ref="B14:N14" si="2">Sum(B3:B13)</f>
        <v>1003902</v>
      </c>
      <c r="C14" s="150">
        <f t="shared" si="2"/>
        <v>5965</v>
      </c>
      <c r="D14" s="150">
        <f t="shared" si="2"/>
        <v>6701</v>
      </c>
      <c r="E14" s="150">
        <f t="shared" si="2"/>
        <v>11355</v>
      </c>
      <c r="F14" s="150">
        <f t="shared" si="2"/>
        <v>7476</v>
      </c>
      <c r="G14" s="150">
        <f t="shared" si="2"/>
        <v>7352</v>
      </c>
      <c r="H14" s="150">
        <f t="shared" si="2"/>
        <v>7858</v>
      </c>
      <c r="I14" s="150">
        <f t="shared" si="2"/>
        <v>6927</v>
      </c>
      <c r="J14" s="150">
        <f t="shared" si="2"/>
        <v>6939</v>
      </c>
      <c r="K14" s="150">
        <f t="shared" si="2"/>
        <v>3994</v>
      </c>
      <c r="L14" s="150">
        <f t="shared" si="2"/>
        <v>8361</v>
      </c>
      <c r="M14" s="150">
        <f t="shared" si="2"/>
        <v>4616</v>
      </c>
      <c r="N14" s="150">
        <f t="shared" si="2"/>
        <v>4188</v>
      </c>
      <c r="P14" s="157" t="s">
        <v>219</v>
      </c>
      <c r="Q14" s="158">
        <v>0.0</v>
      </c>
      <c r="R14" s="154">
        <v>250.0</v>
      </c>
      <c r="S14" s="154">
        <v>250.0</v>
      </c>
      <c r="T14" s="154">
        <v>250.0</v>
      </c>
      <c r="U14" s="154">
        <v>250.0</v>
      </c>
      <c r="V14" s="154">
        <v>250.0</v>
      </c>
      <c r="W14" s="154">
        <v>250.0</v>
      </c>
      <c r="X14" s="154">
        <v>250.0</v>
      </c>
      <c r="Y14" s="154">
        <v>250.0</v>
      </c>
      <c r="Z14" s="154">
        <v>250.0</v>
      </c>
      <c r="AA14" s="154">
        <v>250.0</v>
      </c>
      <c r="AB14" s="154">
        <v>0.0</v>
      </c>
      <c r="AC14" s="154">
        <v>250.0</v>
      </c>
    </row>
    <row r="15" ht="15.75" customHeight="1">
      <c r="A15" s="162" t="s">
        <v>234</v>
      </c>
      <c r="B15" s="146" t="s">
        <v>71</v>
      </c>
      <c r="C15" s="146" t="s">
        <v>0</v>
      </c>
      <c r="D15" s="146" t="s">
        <v>1</v>
      </c>
      <c r="E15" s="146" t="s">
        <v>2</v>
      </c>
      <c r="F15" s="146" t="s">
        <v>3</v>
      </c>
      <c r="G15" s="146" t="s">
        <v>4</v>
      </c>
      <c r="H15" s="146" t="s">
        <v>5</v>
      </c>
      <c r="I15" s="146" t="s">
        <v>6</v>
      </c>
      <c r="J15" s="146" t="s">
        <v>7</v>
      </c>
      <c r="K15" s="146" t="s">
        <v>8</v>
      </c>
      <c r="L15" s="146" t="s">
        <v>9</v>
      </c>
      <c r="M15" s="146" t="s">
        <v>10</v>
      </c>
      <c r="N15" s="146" t="s">
        <v>11</v>
      </c>
      <c r="P15" s="157" t="s">
        <v>221</v>
      </c>
      <c r="Q15" s="158">
        <f>Q4</f>
        <v>72800</v>
      </c>
      <c r="R15" s="154">
        <v>0.0</v>
      </c>
      <c r="S15" s="154">
        <v>0.0</v>
      </c>
      <c r="T15" s="154">
        <v>0.0</v>
      </c>
      <c r="U15" s="154">
        <v>0.0</v>
      </c>
      <c r="V15" s="154">
        <v>0.0</v>
      </c>
      <c r="W15" s="154">
        <v>0.0</v>
      </c>
      <c r="X15" s="154">
        <v>0.0</v>
      </c>
      <c r="Y15" s="154">
        <v>0.0</v>
      </c>
      <c r="Z15" s="154">
        <v>0.0</v>
      </c>
      <c r="AA15" s="154">
        <v>0.0</v>
      </c>
      <c r="AB15" s="154">
        <v>0.0</v>
      </c>
      <c r="AC15" s="154">
        <v>0.0</v>
      </c>
    </row>
    <row r="16" ht="15.75" customHeight="1">
      <c r="A16" s="163" t="s">
        <v>235</v>
      </c>
      <c r="B16" s="150"/>
      <c r="C16" s="150">
        <v>4515.0</v>
      </c>
      <c r="D16" s="150">
        <v>4316.0</v>
      </c>
      <c r="E16" s="150">
        <v>7069.0</v>
      </c>
      <c r="F16" s="150">
        <v>4846.0</v>
      </c>
      <c r="G16" s="150">
        <v>4481.0</v>
      </c>
      <c r="H16" s="150">
        <v>4235.0</v>
      </c>
      <c r="I16" s="150">
        <v>4285.0</v>
      </c>
      <c r="J16" s="150">
        <v>4534.0</v>
      </c>
      <c r="K16" s="150">
        <v>4391.0</v>
      </c>
      <c r="L16" s="150">
        <v>4718.0</v>
      </c>
      <c r="M16" s="150">
        <v>4693.0</v>
      </c>
      <c r="N16" s="150">
        <v>4631.0</v>
      </c>
      <c r="P16" s="157" t="s">
        <v>236</v>
      </c>
      <c r="Q16" s="158">
        <v>0.0</v>
      </c>
      <c r="R16" s="154">
        <v>58.0</v>
      </c>
      <c r="S16" s="154">
        <v>292.0</v>
      </c>
      <c r="T16" s="154">
        <v>42.0</v>
      </c>
      <c r="U16" s="154">
        <v>42.0</v>
      </c>
      <c r="V16" s="154">
        <v>42.0</v>
      </c>
      <c r="W16" s="154">
        <v>207.0</v>
      </c>
      <c r="X16" s="154">
        <v>53.0</v>
      </c>
      <c r="Y16" s="154">
        <v>100.0</v>
      </c>
      <c r="Z16" s="154">
        <v>0.0</v>
      </c>
      <c r="AA16" s="154">
        <v>150.0</v>
      </c>
      <c r="AB16" s="154">
        <v>200.0</v>
      </c>
      <c r="AC16" s="154">
        <v>200.0</v>
      </c>
    </row>
    <row r="17" ht="15.75" customHeight="1">
      <c r="A17" s="155" t="s">
        <v>237</v>
      </c>
      <c r="B17" s="156">
        <f>B3</f>
        <v>636292</v>
      </c>
      <c r="C17" s="150">
        <v>1625.0</v>
      </c>
      <c r="D17" s="150">
        <v>1625.0</v>
      </c>
      <c r="E17" s="150">
        <v>1625.0</v>
      </c>
      <c r="F17" s="150">
        <v>1625.0</v>
      </c>
      <c r="G17" s="150">
        <v>1625.0</v>
      </c>
      <c r="H17" s="150">
        <v>1625.0</v>
      </c>
      <c r="I17" s="150">
        <v>1625.0</v>
      </c>
      <c r="J17" s="150">
        <v>1625.0</v>
      </c>
      <c r="K17" s="150">
        <v>1625.0</v>
      </c>
      <c r="L17" s="150">
        <v>1623.0</v>
      </c>
      <c r="M17" s="150">
        <v>1625.0</v>
      </c>
      <c r="N17" s="150">
        <v>1625.0</v>
      </c>
      <c r="P17" s="157" t="s">
        <v>225</v>
      </c>
      <c r="Q17" s="158">
        <f>Q6</f>
        <v>5174</v>
      </c>
      <c r="R17" s="154">
        <v>1000.0</v>
      </c>
      <c r="S17" s="154">
        <v>750.0</v>
      </c>
      <c r="T17" s="154">
        <v>1000.0</v>
      </c>
      <c r="U17" s="154">
        <v>1000.0</v>
      </c>
      <c r="V17" s="154">
        <v>1000.0</v>
      </c>
      <c r="W17" s="154">
        <v>1150.0</v>
      </c>
      <c r="X17" s="154">
        <v>1100.0</v>
      </c>
      <c r="Y17" s="154">
        <v>1053.0</v>
      </c>
      <c r="Z17" s="154">
        <v>1153.0</v>
      </c>
      <c r="AA17" s="154">
        <v>1003.0</v>
      </c>
      <c r="AB17" s="154">
        <v>2458.0</v>
      </c>
      <c r="AC17" s="154">
        <v>1648.0</v>
      </c>
    </row>
    <row r="18" ht="15.75" customHeight="1">
      <c r="A18" s="155" t="s">
        <v>222</v>
      </c>
      <c r="B18" s="156" t="s">
        <v>223</v>
      </c>
      <c r="C18" s="150">
        <v>427.0</v>
      </c>
      <c r="D18" s="150">
        <v>324.0</v>
      </c>
      <c r="E18" s="150">
        <v>0.0</v>
      </c>
      <c r="F18" s="150">
        <v>0.0</v>
      </c>
      <c r="G18" s="150">
        <v>0.0</v>
      </c>
      <c r="H18" s="150">
        <v>0.0</v>
      </c>
      <c r="I18" s="150">
        <v>0.0</v>
      </c>
      <c r="J18" s="150">
        <v>0.0</v>
      </c>
      <c r="K18" s="150">
        <v>324.0</v>
      </c>
      <c r="L18" s="150">
        <v>0.0</v>
      </c>
      <c r="M18" s="150">
        <v>0.0</v>
      </c>
      <c r="N18" s="150">
        <v>0.0</v>
      </c>
      <c r="P18" s="157"/>
      <c r="Q18" s="158"/>
      <c r="R18" s="158"/>
      <c r="S18" s="158"/>
      <c r="T18" s="158"/>
      <c r="U18" s="154"/>
      <c r="V18" s="154"/>
      <c r="W18" s="158"/>
      <c r="X18" s="154"/>
      <c r="Y18" s="158"/>
      <c r="Z18" s="158"/>
      <c r="AA18" s="154"/>
      <c r="AB18" s="158"/>
      <c r="AC18" s="158"/>
    </row>
    <row r="19" ht="15.75" customHeight="1">
      <c r="A19" s="155" t="s">
        <v>238</v>
      </c>
      <c r="B19" s="156">
        <f t="shared" ref="B19:B20" si="3">B6</f>
        <v>0</v>
      </c>
      <c r="C19" s="150">
        <v>1250.0</v>
      </c>
      <c r="D19" s="150">
        <v>1571.0</v>
      </c>
      <c r="E19" s="150">
        <v>4750.0</v>
      </c>
      <c r="F19" s="150">
        <v>2250.0</v>
      </c>
      <c r="G19" s="150">
        <v>1606.0</v>
      </c>
      <c r="H19" s="150">
        <v>1500.0</v>
      </c>
      <c r="I19" s="150">
        <v>1500.0</v>
      </c>
      <c r="J19" s="150">
        <v>2000.0</v>
      </c>
      <c r="K19" s="150">
        <v>1500.0</v>
      </c>
      <c r="L19" s="150">
        <v>2250.0</v>
      </c>
      <c r="M19" s="150">
        <v>1340.0</v>
      </c>
      <c r="N19" s="150">
        <v>1150.0</v>
      </c>
      <c r="P19" s="157"/>
      <c r="Q19" s="158"/>
      <c r="R19" s="154"/>
      <c r="S19" s="158"/>
      <c r="T19" s="158"/>
      <c r="U19" s="154"/>
      <c r="V19" s="154"/>
      <c r="W19" s="158"/>
      <c r="X19" s="154"/>
      <c r="Y19" s="158"/>
      <c r="Z19" s="158"/>
      <c r="AA19" s="154"/>
      <c r="AB19" s="158"/>
      <c r="AC19" s="158"/>
    </row>
    <row r="20" ht="15.75" customHeight="1">
      <c r="A20" s="155" t="s">
        <v>239</v>
      </c>
      <c r="B20" s="156">
        <f t="shared" si="3"/>
        <v>9504</v>
      </c>
      <c r="C20" s="150">
        <v>0.0</v>
      </c>
      <c r="D20" s="150">
        <v>0.0</v>
      </c>
      <c r="E20" s="150">
        <v>0.0</v>
      </c>
      <c r="F20" s="150">
        <v>0.0</v>
      </c>
      <c r="G20" s="150">
        <v>0.0</v>
      </c>
      <c r="H20" s="150">
        <v>0.0</v>
      </c>
      <c r="I20" s="150">
        <v>0.0</v>
      </c>
      <c r="J20" s="150">
        <v>0.0</v>
      </c>
      <c r="K20" s="150">
        <v>0.0</v>
      </c>
      <c r="L20" s="150">
        <v>0.0</v>
      </c>
      <c r="M20" s="150">
        <v>0.0</v>
      </c>
      <c r="N20" s="150">
        <v>0.0</v>
      </c>
      <c r="P20" s="157"/>
      <c r="Q20" s="158"/>
      <c r="R20" s="158"/>
      <c r="S20" s="158"/>
      <c r="T20" s="158"/>
      <c r="U20" s="154"/>
      <c r="V20" s="154"/>
      <c r="W20" s="158"/>
      <c r="X20" s="154"/>
      <c r="Y20" s="158"/>
      <c r="Z20" s="158"/>
      <c r="AA20" s="154"/>
      <c r="AB20" s="158"/>
      <c r="AC20" s="158"/>
    </row>
    <row r="21" ht="15.75" customHeight="1">
      <c r="A21" s="155" t="s">
        <v>227</v>
      </c>
      <c r="B21" s="156" t="s">
        <v>223</v>
      </c>
      <c r="C21" s="150">
        <v>89.0</v>
      </c>
      <c r="D21" s="150">
        <v>89.0</v>
      </c>
      <c r="E21" s="150">
        <v>0.0</v>
      </c>
      <c r="F21" s="150">
        <v>0.0</v>
      </c>
      <c r="G21" s="150">
        <v>0.0</v>
      </c>
      <c r="H21" s="150">
        <v>0.0</v>
      </c>
      <c r="I21" s="150">
        <v>0.0</v>
      </c>
      <c r="J21" s="150">
        <v>0.0</v>
      </c>
      <c r="K21" s="150">
        <v>89.0</v>
      </c>
      <c r="L21" s="150">
        <v>0.0</v>
      </c>
      <c r="M21" s="150">
        <v>0.0</v>
      </c>
      <c r="N21" s="150">
        <v>0.0</v>
      </c>
      <c r="P21" s="157"/>
      <c r="Q21" s="158"/>
      <c r="R21" s="158"/>
      <c r="S21" s="158"/>
      <c r="T21" s="158"/>
      <c r="U21" s="154"/>
      <c r="V21" s="154"/>
      <c r="W21" s="158"/>
      <c r="X21" s="154"/>
      <c r="Y21" s="158"/>
      <c r="Z21" s="158"/>
      <c r="AA21" s="154"/>
      <c r="AB21" s="158"/>
      <c r="AC21" s="158"/>
    </row>
    <row r="22" ht="15.75" customHeight="1">
      <c r="A22" s="155" t="s">
        <v>240</v>
      </c>
      <c r="B22" s="156" t="s">
        <v>223</v>
      </c>
      <c r="C22" s="150">
        <v>289.0</v>
      </c>
      <c r="D22" s="150">
        <v>287.0</v>
      </c>
      <c r="E22" s="150">
        <v>284.0</v>
      </c>
      <c r="F22" s="150">
        <v>285.0</v>
      </c>
      <c r="G22" s="150">
        <v>284.0</v>
      </c>
      <c r="H22" s="150">
        <v>167.0</v>
      </c>
      <c r="I22" s="150">
        <v>284.0</v>
      </c>
      <c r="J22" s="150">
        <v>284.0</v>
      </c>
      <c r="K22" s="150">
        <v>222.0</v>
      </c>
      <c r="L22" s="150">
        <v>222.0</v>
      </c>
      <c r="M22" s="150">
        <v>222.0</v>
      </c>
      <c r="N22" s="150">
        <v>222.0</v>
      </c>
      <c r="P22" s="160" t="s">
        <v>104</v>
      </c>
      <c r="Q22" s="158">
        <f t="shared" ref="Q22:AC22" si="4">Sum(Q14:Q20)</f>
        <v>77974</v>
      </c>
      <c r="R22" s="154">
        <f t="shared" si="4"/>
        <v>1308</v>
      </c>
      <c r="S22" s="154">
        <f t="shared" si="4"/>
        <v>1292</v>
      </c>
      <c r="T22" s="154">
        <f t="shared" si="4"/>
        <v>1292</v>
      </c>
      <c r="U22" s="154">
        <f t="shared" si="4"/>
        <v>1292</v>
      </c>
      <c r="V22" s="154">
        <f t="shared" si="4"/>
        <v>1292</v>
      </c>
      <c r="W22" s="154">
        <f t="shared" si="4"/>
        <v>1607</v>
      </c>
      <c r="X22" s="154">
        <f t="shared" si="4"/>
        <v>1403</v>
      </c>
      <c r="Y22" s="154">
        <f t="shared" si="4"/>
        <v>1403</v>
      </c>
      <c r="Z22" s="154">
        <f t="shared" si="4"/>
        <v>1403</v>
      </c>
      <c r="AA22" s="154">
        <f t="shared" si="4"/>
        <v>1403</v>
      </c>
      <c r="AB22" s="154">
        <f t="shared" si="4"/>
        <v>2658</v>
      </c>
      <c r="AC22" s="154">
        <f t="shared" si="4"/>
        <v>2098</v>
      </c>
    </row>
    <row r="23" ht="15.75" customHeight="1">
      <c r="A23" s="155" t="s">
        <v>241</v>
      </c>
      <c r="B23" s="156">
        <f>B9</f>
        <v>0</v>
      </c>
      <c r="C23" s="150">
        <v>186.0</v>
      </c>
      <c r="D23" s="150">
        <v>91.0</v>
      </c>
      <c r="E23" s="150">
        <v>51.0</v>
      </c>
      <c r="F23" s="150">
        <v>408.0</v>
      </c>
      <c r="G23" s="150">
        <v>303.0</v>
      </c>
      <c r="H23" s="150">
        <v>455.0</v>
      </c>
      <c r="I23" s="150">
        <v>394.0</v>
      </c>
      <c r="J23" s="150">
        <v>384.0</v>
      </c>
      <c r="K23" s="150">
        <v>262.0</v>
      </c>
      <c r="L23" s="150">
        <v>58.0</v>
      </c>
      <c r="M23" s="150">
        <v>159.0</v>
      </c>
      <c r="N23" s="150">
        <v>44.0</v>
      </c>
      <c r="P23" s="148" t="s">
        <v>242</v>
      </c>
      <c r="Q23" s="164">
        <v>0.0</v>
      </c>
      <c r="R23" s="164">
        <f>Sum(R2+R13)-R11-R22</f>
        <v>0</v>
      </c>
      <c r="S23" s="164">
        <f t="shared" ref="S23:AB23" si="5">Sum(T2+S13)-S11-S22</f>
        <v>0</v>
      </c>
      <c r="T23" s="164">
        <f t="shared" si="5"/>
        <v>0</v>
      </c>
      <c r="U23" s="148">
        <f t="shared" si="5"/>
        <v>0</v>
      </c>
      <c r="V23" s="164">
        <f t="shared" si="5"/>
        <v>1292</v>
      </c>
      <c r="W23" s="164">
        <f t="shared" si="5"/>
        <v>-1181</v>
      </c>
      <c r="X23" s="164">
        <f t="shared" si="5"/>
        <v>0</v>
      </c>
      <c r="Y23" s="164">
        <f t="shared" si="5"/>
        <v>0</v>
      </c>
      <c r="Z23" s="164">
        <f t="shared" si="5"/>
        <v>74</v>
      </c>
      <c r="AA23" s="164">
        <f t="shared" si="5"/>
        <v>543</v>
      </c>
      <c r="AB23" s="164">
        <f t="shared" si="5"/>
        <v>204</v>
      </c>
      <c r="AC23" s="164">
        <f>Sum(AC2+AC13)-AC11-AC22</f>
        <v>0</v>
      </c>
    </row>
    <row r="24" ht="15.75" customHeight="1">
      <c r="A24" s="155" t="s">
        <v>228</v>
      </c>
      <c r="B24" s="156" t="s">
        <v>223</v>
      </c>
      <c r="C24" s="150">
        <v>0.0</v>
      </c>
      <c r="D24" s="150">
        <v>0.0</v>
      </c>
      <c r="E24" s="150">
        <v>0.0</v>
      </c>
      <c r="F24" s="150">
        <v>0.0</v>
      </c>
      <c r="G24" s="150">
        <v>0.0</v>
      </c>
      <c r="H24" s="150">
        <v>0.0</v>
      </c>
      <c r="I24" s="150">
        <v>0.0</v>
      </c>
      <c r="J24" s="150">
        <v>0.0</v>
      </c>
      <c r="K24" s="150">
        <v>25.0</v>
      </c>
      <c r="L24" s="150">
        <v>0.0</v>
      </c>
      <c r="M24" s="150">
        <v>0.0</v>
      </c>
      <c r="N24" s="150">
        <v>0.0</v>
      </c>
      <c r="P24" s="112" t="s">
        <v>243</v>
      </c>
      <c r="Q24" s="112">
        <v>3594.0</v>
      </c>
      <c r="R24" s="112">
        <v>310.0</v>
      </c>
      <c r="S24" s="112">
        <v>201.0</v>
      </c>
      <c r="T24" s="112">
        <v>568.0</v>
      </c>
      <c r="U24" s="112">
        <v>298.0</v>
      </c>
      <c r="V24" s="112">
        <v>292.0</v>
      </c>
      <c r="W24" s="112">
        <v>250.0</v>
      </c>
      <c r="X24" s="112">
        <v>329.0</v>
      </c>
      <c r="Y24" s="112">
        <v>532.0</v>
      </c>
      <c r="Z24" s="112">
        <v>0.0</v>
      </c>
      <c r="AA24" s="112">
        <v>212.0</v>
      </c>
      <c r="AB24" s="112">
        <v>602.0</v>
      </c>
      <c r="AC24" s="112">
        <v>634.0</v>
      </c>
    </row>
    <row r="25" ht="15.75" customHeight="1">
      <c r="A25" s="155" t="s">
        <v>244</v>
      </c>
      <c r="B25" s="156" t="s">
        <v>223</v>
      </c>
      <c r="C25" s="150">
        <v>0.0</v>
      </c>
      <c r="D25" s="150">
        <v>0.0</v>
      </c>
      <c r="E25" s="150">
        <v>0.0</v>
      </c>
      <c r="F25" s="150">
        <v>0.0</v>
      </c>
      <c r="G25" s="150">
        <v>0.0</v>
      </c>
      <c r="H25" s="150">
        <v>0.0</v>
      </c>
      <c r="I25" s="150">
        <v>0.0</v>
      </c>
      <c r="J25" s="150">
        <v>77.0</v>
      </c>
      <c r="K25" s="150">
        <v>0.0</v>
      </c>
      <c r="L25" s="150">
        <v>0.0</v>
      </c>
      <c r="M25" s="150">
        <v>0.0</v>
      </c>
      <c r="N25" s="150">
        <v>0.0</v>
      </c>
      <c r="P25" s="112" t="s">
        <v>245</v>
      </c>
      <c r="Q25" s="112">
        <v>5503.0</v>
      </c>
      <c r="R25" s="112">
        <v>2017.0</v>
      </c>
      <c r="S25" s="111"/>
      <c r="T25" s="111"/>
      <c r="U25" s="111"/>
      <c r="V25" s="111"/>
      <c r="W25" s="112">
        <v>1287.0</v>
      </c>
      <c r="X25" s="111"/>
      <c r="Y25" s="111"/>
      <c r="Z25" s="112">
        <v>2199.0</v>
      </c>
      <c r="AA25" s="111"/>
      <c r="AB25" s="111"/>
      <c r="AC25" s="111"/>
    </row>
    <row r="26" ht="15.75" customHeight="1">
      <c r="A26" s="155" t="s">
        <v>230</v>
      </c>
      <c r="B26" s="156">
        <f>B12</f>
        <v>0</v>
      </c>
      <c r="C26" s="150">
        <v>457.0</v>
      </c>
      <c r="D26" s="150">
        <v>50.0</v>
      </c>
      <c r="E26" s="150">
        <v>0.0</v>
      </c>
      <c r="F26" s="150">
        <v>39.0</v>
      </c>
      <c r="G26" s="150">
        <v>333.0</v>
      </c>
      <c r="H26" s="150">
        <v>233.0</v>
      </c>
      <c r="I26" s="150">
        <v>184.0</v>
      </c>
      <c r="J26" s="150">
        <v>23.0</v>
      </c>
      <c r="K26" s="150">
        <v>229.0</v>
      </c>
      <c r="L26" s="150">
        <v>0.0</v>
      </c>
      <c r="M26" s="150">
        <v>900.0</v>
      </c>
      <c r="N26" s="150">
        <v>0.0</v>
      </c>
      <c r="P26" s="112" t="s">
        <v>246</v>
      </c>
      <c r="Q26" s="111"/>
      <c r="R26" s="111"/>
      <c r="S26" s="111"/>
      <c r="T26" s="111"/>
      <c r="U26" s="111"/>
      <c r="V26" s="111"/>
      <c r="W26" s="111"/>
      <c r="X26" s="112">
        <v>5635.0</v>
      </c>
      <c r="Y26" s="111"/>
      <c r="Z26" s="111"/>
      <c r="AA26" s="112"/>
      <c r="AB26" s="111"/>
      <c r="AC26" s="111"/>
    </row>
    <row r="27" ht="15.75" customHeight="1">
      <c r="A27" s="155" t="s">
        <v>247</v>
      </c>
      <c r="B27" s="156" t="s">
        <v>223</v>
      </c>
      <c r="C27" s="150">
        <v>500.0</v>
      </c>
      <c r="D27" s="150">
        <v>0.0</v>
      </c>
      <c r="E27" s="150">
        <v>0.0</v>
      </c>
      <c r="F27" s="150">
        <v>0.0</v>
      </c>
      <c r="G27" s="150">
        <v>0.0</v>
      </c>
      <c r="H27" s="150">
        <v>155.0</v>
      </c>
      <c r="I27" s="150">
        <v>0.0</v>
      </c>
      <c r="J27" s="150">
        <v>0.0</v>
      </c>
      <c r="K27" s="150">
        <v>0.0</v>
      </c>
      <c r="L27" s="150">
        <v>0.0</v>
      </c>
      <c r="M27" s="150">
        <v>0.0</v>
      </c>
      <c r="N27" s="150">
        <v>1000.0</v>
      </c>
      <c r="P27" s="112" t="s">
        <v>248</v>
      </c>
      <c r="Q27" s="112">
        <v>0.0</v>
      </c>
      <c r="R27" s="111"/>
      <c r="S27" s="112">
        <v>15000.0</v>
      </c>
      <c r="T27" s="111"/>
      <c r="U27" s="112">
        <v>15000.0</v>
      </c>
      <c r="V27" s="112">
        <v>16000.0</v>
      </c>
      <c r="W27" s="112">
        <v>0.0</v>
      </c>
      <c r="X27" s="112">
        <v>0.0</v>
      </c>
      <c r="Y27" s="112">
        <v>5000.0</v>
      </c>
      <c r="Z27" s="111"/>
      <c r="AA27" s="111"/>
      <c r="AB27" s="111"/>
      <c r="AC27" s="111"/>
    </row>
    <row r="28" ht="15.75" customHeight="1">
      <c r="A28" s="161" t="s">
        <v>33</v>
      </c>
      <c r="B28" s="156">
        <f>B14</f>
        <v>1003902</v>
      </c>
      <c r="C28" s="150">
        <f t="shared" ref="C28:N28" si="6">Sum(C17:C27)</f>
        <v>4823</v>
      </c>
      <c r="D28" s="150">
        <f t="shared" si="6"/>
        <v>4037</v>
      </c>
      <c r="E28" s="150">
        <f t="shared" si="6"/>
        <v>6710</v>
      </c>
      <c r="F28" s="150">
        <f t="shared" si="6"/>
        <v>4607</v>
      </c>
      <c r="G28" s="150">
        <f t="shared" si="6"/>
        <v>4151</v>
      </c>
      <c r="H28" s="150">
        <f t="shared" si="6"/>
        <v>4135</v>
      </c>
      <c r="I28" s="150">
        <f t="shared" si="6"/>
        <v>3987</v>
      </c>
      <c r="J28" s="150">
        <f t="shared" si="6"/>
        <v>4393</v>
      </c>
      <c r="K28" s="150">
        <f t="shared" si="6"/>
        <v>4276</v>
      </c>
      <c r="L28" s="150">
        <f t="shared" si="6"/>
        <v>4153</v>
      </c>
      <c r="M28" s="150">
        <f t="shared" si="6"/>
        <v>4246</v>
      </c>
      <c r="N28" s="150">
        <f t="shared" si="6"/>
        <v>4041</v>
      </c>
      <c r="P28" s="165" t="s">
        <v>249</v>
      </c>
      <c r="Q28" s="111"/>
      <c r="R28" s="112"/>
      <c r="S28" s="112"/>
      <c r="T28" s="111"/>
      <c r="U28" s="111"/>
      <c r="V28" s="111"/>
      <c r="W28" s="111"/>
      <c r="X28" s="111"/>
      <c r="Y28" s="111"/>
      <c r="Z28" s="111"/>
      <c r="AA28" s="112">
        <v>1997.0</v>
      </c>
      <c r="AB28" s="111"/>
      <c r="AC28" s="112">
        <v>0.0</v>
      </c>
    </row>
    <row r="29" ht="15.75" customHeight="1">
      <c r="A29" s="146" t="s">
        <v>118</v>
      </c>
      <c r="B29" s="146"/>
      <c r="C29" s="166">
        <f t="shared" ref="C29:N29" si="7">C14+C28</f>
        <v>10788</v>
      </c>
      <c r="D29" s="166">
        <f t="shared" si="7"/>
        <v>10738</v>
      </c>
      <c r="E29" s="166">
        <f t="shared" si="7"/>
        <v>18065</v>
      </c>
      <c r="F29" s="166">
        <f t="shared" si="7"/>
        <v>12083</v>
      </c>
      <c r="G29" s="166">
        <f t="shared" si="7"/>
        <v>11503</v>
      </c>
      <c r="H29" s="166">
        <f t="shared" si="7"/>
        <v>11993</v>
      </c>
      <c r="I29" s="166">
        <f t="shared" si="7"/>
        <v>10914</v>
      </c>
      <c r="J29" s="166">
        <f t="shared" si="7"/>
        <v>11332</v>
      </c>
      <c r="K29" s="166">
        <f t="shared" si="7"/>
        <v>8270</v>
      </c>
      <c r="L29" s="166">
        <f t="shared" si="7"/>
        <v>12514</v>
      </c>
      <c r="M29" s="166">
        <f t="shared" si="7"/>
        <v>8862</v>
      </c>
      <c r="N29" s="166">
        <f t="shared" si="7"/>
        <v>8229</v>
      </c>
      <c r="P29" s="112" t="s">
        <v>250</v>
      </c>
      <c r="Q29" s="111"/>
      <c r="R29" s="112">
        <v>0.0</v>
      </c>
      <c r="S29" s="112">
        <v>2000.0</v>
      </c>
      <c r="T29" s="112">
        <v>4000.0</v>
      </c>
      <c r="U29" s="112">
        <v>0.0</v>
      </c>
      <c r="V29" s="112">
        <v>2000.0</v>
      </c>
      <c r="W29" s="112">
        <v>4000.0</v>
      </c>
      <c r="X29" s="112">
        <v>2250.0</v>
      </c>
      <c r="Y29" s="112">
        <v>1950.0</v>
      </c>
      <c r="Z29" s="112">
        <v>2000.0</v>
      </c>
      <c r="AA29" s="112">
        <v>789.0</v>
      </c>
      <c r="AB29" s="112">
        <v>6000.0</v>
      </c>
      <c r="AC29" s="112">
        <v>5174.0</v>
      </c>
    </row>
    <row r="30" ht="15.75" customHeight="1">
      <c r="P30" s="106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</row>
    <row r="31" ht="15.75" customHeight="1">
      <c r="P31" s="106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</row>
    <row r="32" ht="15.75" customHeight="1">
      <c r="P32" s="106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</row>
    <row r="33" ht="15.75" customHeight="1">
      <c r="A33" s="167"/>
      <c r="B33" s="167"/>
      <c r="C33" s="167"/>
      <c r="D33" s="167"/>
      <c r="E33" s="167"/>
      <c r="F33" s="167"/>
      <c r="G33" s="167"/>
      <c r="H33" s="167"/>
      <c r="I33" s="167"/>
      <c r="J33" s="167"/>
      <c r="K33" s="167"/>
      <c r="L33" s="167"/>
      <c r="M33" s="167"/>
      <c r="N33" s="167"/>
    </row>
    <row r="34" ht="15.75" customHeight="1">
      <c r="A34" s="167"/>
      <c r="B34" s="167"/>
      <c r="C34" s="167"/>
      <c r="D34" s="167"/>
      <c r="E34" s="167"/>
      <c r="F34" s="167"/>
      <c r="G34" s="167"/>
      <c r="H34" s="167"/>
      <c r="I34" s="167"/>
      <c r="J34" s="167"/>
      <c r="K34" s="167"/>
      <c r="L34" s="167"/>
      <c r="M34" s="167"/>
      <c r="N34" s="167"/>
      <c r="P34" s="46" t="s">
        <v>251</v>
      </c>
    </row>
    <row r="35" ht="15.75" customHeight="1">
      <c r="A35" s="168" t="s">
        <v>252</v>
      </c>
      <c r="B35" s="169"/>
      <c r="C35" s="169" t="s">
        <v>0</v>
      </c>
      <c r="D35" s="169" t="s">
        <v>1</v>
      </c>
      <c r="E35" s="169" t="s">
        <v>2</v>
      </c>
      <c r="F35" s="169" t="s">
        <v>3</v>
      </c>
      <c r="G35" s="169" t="s">
        <v>4</v>
      </c>
      <c r="H35" s="169" t="s">
        <v>5</v>
      </c>
      <c r="I35" s="169" t="s">
        <v>6</v>
      </c>
      <c r="J35" s="169" t="s">
        <v>7</v>
      </c>
      <c r="K35" s="169" t="s">
        <v>8</v>
      </c>
      <c r="L35" s="169" t="s">
        <v>9</v>
      </c>
      <c r="M35" s="169" t="s">
        <v>10</v>
      </c>
      <c r="N35" s="170" t="s">
        <v>11</v>
      </c>
      <c r="O35" s="171"/>
      <c r="P35" s="172"/>
      <c r="Q35" s="172"/>
      <c r="R35" s="172"/>
      <c r="S35" s="172"/>
      <c r="T35" s="172"/>
      <c r="U35" s="172"/>
      <c r="V35" s="172"/>
      <c r="W35" s="172"/>
      <c r="X35" s="172"/>
      <c r="Y35" s="172"/>
      <c r="Z35" s="172"/>
      <c r="AA35" s="172"/>
      <c r="AB35" s="172"/>
      <c r="AC35" s="172"/>
    </row>
    <row r="36" ht="15.75" customHeight="1">
      <c r="A36" s="173" t="s">
        <v>253</v>
      </c>
      <c r="B36" s="174"/>
      <c r="C36" s="174"/>
      <c r="D36" s="174"/>
      <c r="E36" s="175"/>
      <c r="F36" s="175"/>
      <c r="G36" s="175"/>
      <c r="H36" s="175"/>
      <c r="I36" s="175"/>
      <c r="J36" s="175">
        <v>4000.0</v>
      </c>
      <c r="K36" s="175"/>
      <c r="L36" s="175"/>
      <c r="M36" s="175"/>
      <c r="N36" s="175"/>
      <c r="O36" s="37"/>
      <c r="P36" s="176"/>
      <c r="Q36" s="37"/>
      <c r="R36" s="106"/>
      <c r="S36" s="177"/>
      <c r="T36" s="178"/>
      <c r="U36" s="178"/>
      <c r="V36" s="178"/>
      <c r="W36" s="178"/>
      <c r="X36" s="178"/>
      <c r="Y36" s="178"/>
      <c r="Z36" s="178"/>
      <c r="AA36" s="178"/>
      <c r="AB36" s="178"/>
      <c r="AC36" s="178"/>
    </row>
    <row r="37" ht="15.75" customHeight="1">
      <c r="A37" s="179" t="s">
        <v>254</v>
      </c>
      <c r="B37" s="175"/>
      <c r="C37" s="174"/>
      <c r="D37" s="174"/>
      <c r="E37" s="175"/>
      <c r="F37" s="175"/>
      <c r="G37" s="175"/>
      <c r="H37" s="175"/>
      <c r="I37" s="175"/>
      <c r="J37" s="175"/>
      <c r="K37" s="175">
        <v>890.0</v>
      </c>
      <c r="L37" s="175"/>
      <c r="M37" s="175"/>
      <c r="N37" s="175"/>
      <c r="O37" s="37"/>
      <c r="P37" s="180"/>
      <c r="Q37" s="178"/>
      <c r="R37" s="177"/>
      <c r="S37" s="177"/>
      <c r="T37" s="178"/>
      <c r="U37" s="178"/>
      <c r="V37" s="178"/>
      <c r="W37" s="178"/>
      <c r="X37" s="178"/>
      <c r="Y37" s="178"/>
      <c r="Z37" s="178"/>
      <c r="AA37" s="178"/>
      <c r="AB37" s="178"/>
      <c r="AC37" s="178"/>
    </row>
    <row r="38" ht="15.75" customHeight="1">
      <c r="A38" s="179" t="s">
        <v>255</v>
      </c>
      <c r="B38" s="175"/>
      <c r="C38" s="174"/>
      <c r="D38" s="174"/>
      <c r="E38" s="175"/>
      <c r="F38" s="175"/>
      <c r="G38" s="175"/>
      <c r="H38" s="175"/>
      <c r="I38" s="175"/>
      <c r="J38" s="175"/>
      <c r="K38" s="175"/>
      <c r="L38" s="175"/>
      <c r="M38" s="175">
        <v>800.0</v>
      </c>
      <c r="N38" s="175">
        <v>90.0</v>
      </c>
      <c r="O38" s="37"/>
      <c r="P38" s="180"/>
      <c r="Q38" s="178"/>
      <c r="R38" s="177"/>
      <c r="S38" s="177"/>
      <c r="T38" s="178"/>
      <c r="U38" s="178"/>
      <c r="V38" s="178"/>
      <c r="W38" s="178"/>
      <c r="X38" s="178"/>
      <c r="Y38" s="178"/>
      <c r="Z38" s="178"/>
      <c r="AA38" s="178"/>
      <c r="AB38" s="178"/>
      <c r="AC38" s="178"/>
    </row>
    <row r="39" ht="15.75" customHeight="1">
      <c r="A39" s="179" t="s">
        <v>256</v>
      </c>
      <c r="B39" s="175"/>
      <c r="C39" s="174"/>
      <c r="D39" s="174"/>
      <c r="E39" s="175"/>
      <c r="F39" s="175"/>
      <c r="G39" s="175"/>
      <c r="H39" s="175"/>
      <c r="I39" s="175"/>
      <c r="J39" s="175"/>
      <c r="K39" s="175"/>
      <c r="L39" s="175"/>
      <c r="M39" s="175"/>
      <c r="N39" s="175"/>
      <c r="O39" s="37"/>
      <c r="P39" s="180"/>
      <c r="Q39" s="178"/>
      <c r="R39" s="177"/>
      <c r="S39" s="178"/>
      <c r="T39" s="178"/>
      <c r="U39" s="178"/>
      <c r="V39" s="178"/>
      <c r="W39" s="178"/>
      <c r="X39" s="178"/>
      <c r="Y39" s="178"/>
      <c r="Z39" s="178"/>
      <c r="AA39" s="178"/>
      <c r="AB39" s="178"/>
      <c r="AC39" s="178"/>
    </row>
    <row r="40" ht="15.75" customHeight="1">
      <c r="A40" s="179"/>
      <c r="B40" s="175"/>
      <c r="C40" s="174"/>
      <c r="D40" s="174"/>
      <c r="E40" s="175"/>
      <c r="F40" s="175"/>
      <c r="G40" s="175"/>
      <c r="H40" s="175"/>
      <c r="I40" s="175"/>
      <c r="J40" s="175"/>
      <c r="K40" s="175"/>
      <c r="L40" s="175"/>
      <c r="M40" s="175"/>
      <c r="N40" s="175"/>
      <c r="O40" s="37"/>
      <c r="P40" s="180"/>
      <c r="Q40" s="178"/>
      <c r="R40" s="177"/>
      <c r="S40" s="177"/>
      <c r="T40" s="178"/>
      <c r="U40" s="178"/>
      <c r="V40" s="178"/>
      <c r="W40" s="178"/>
      <c r="X40" s="178"/>
      <c r="Y40" s="178"/>
      <c r="Z40" s="178"/>
      <c r="AA40" s="178"/>
      <c r="AB40" s="178"/>
      <c r="AC40" s="178"/>
    </row>
    <row r="41" ht="15.75" customHeight="1">
      <c r="A41" s="179"/>
      <c r="B41" s="175"/>
      <c r="C41" s="174"/>
      <c r="D41" s="174"/>
      <c r="E41" s="175"/>
      <c r="F41" s="175"/>
      <c r="G41" s="175"/>
      <c r="H41" s="175"/>
      <c r="I41" s="175"/>
      <c r="J41" s="175"/>
      <c r="K41" s="175"/>
      <c r="L41" s="175"/>
      <c r="M41" s="175"/>
      <c r="N41" s="175"/>
      <c r="O41" s="37"/>
      <c r="P41" s="180"/>
      <c r="Q41" s="178"/>
      <c r="R41" s="178"/>
      <c r="S41" s="178"/>
      <c r="T41" s="178"/>
      <c r="U41" s="178"/>
      <c r="V41" s="178"/>
      <c r="W41" s="178"/>
      <c r="X41" s="178"/>
      <c r="Y41" s="178"/>
      <c r="Z41" s="178"/>
      <c r="AA41" s="178"/>
      <c r="AB41" s="178"/>
      <c r="AC41" s="178"/>
    </row>
    <row r="42" ht="15.75" customHeight="1">
      <c r="A42" s="179"/>
      <c r="B42" s="175"/>
      <c r="C42" s="174"/>
      <c r="D42" s="174"/>
      <c r="E42" s="175"/>
      <c r="F42" s="175"/>
      <c r="G42" s="175"/>
      <c r="H42" s="175"/>
      <c r="I42" s="175"/>
      <c r="J42" s="175"/>
      <c r="K42" s="175"/>
      <c r="L42" s="175"/>
      <c r="M42" s="175"/>
      <c r="N42" s="175"/>
      <c r="O42" s="37"/>
      <c r="P42" s="180"/>
      <c r="Q42" s="178"/>
      <c r="R42" s="178"/>
      <c r="S42" s="178"/>
      <c r="T42" s="178"/>
      <c r="U42" s="178"/>
      <c r="V42" s="178"/>
      <c r="W42" s="178"/>
      <c r="X42" s="178"/>
      <c r="Y42" s="178"/>
      <c r="Z42" s="178"/>
      <c r="AA42" s="178"/>
      <c r="AB42" s="178"/>
      <c r="AC42" s="178"/>
    </row>
    <row r="43" ht="15.75" customHeight="1">
      <c r="A43" s="179"/>
      <c r="B43" s="175"/>
      <c r="C43" s="174"/>
      <c r="D43" s="174"/>
      <c r="E43" s="175"/>
      <c r="F43" s="175"/>
      <c r="G43" s="175"/>
      <c r="H43" s="175"/>
      <c r="I43" s="175"/>
      <c r="J43" s="175"/>
      <c r="K43" s="175"/>
      <c r="L43" s="175"/>
      <c r="M43" s="175"/>
      <c r="N43" s="175"/>
      <c r="O43" s="37"/>
      <c r="P43" s="180"/>
      <c r="Q43" s="178"/>
      <c r="R43" s="178"/>
      <c r="S43" s="178"/>
      <c r="T43" s="178"/>
      <c r="U43" s="178"/>
      <c r="V43" s="178"/>
      <c r="W43" s="178"/>
      <c r="X43" s="178"/>
      <c r="Y43" s="178"/>
      <c r="Z43" s="178"/>
      <c r="AA43" s="178"/>
      <c r="AB43" s="178"/>
      <c r="AC43" s="178"/>
    </row>
    <row r="44" ht="15.75" customHeight="1">
      <c r="A44" s="179"/>
      <c r="B44" s="175"/>
      <c r="C44" s="174"/>
      <c r="D44" s="174"/>
      <c r="E44" s="175"/>
      <c r="F44" s="175"/>
      <c r="G44" s="175"/>
      <c r="H44" s="175"/>
      <c r="I44" s="175"/>
      <c r="J44" s="175"/>
      <c r="K44" s="175"/>
      <c r="L44" s="175"/>
      <c r="M44" s="175"/>
      <c r="N44" s="175"/>
      <c r="O44" s="37"/>
      <c r="P44" s="37"/>
      <c r="Q44" s="178"/>
      <c r="R44" s="178"/>
      <c r="S44" s="178"/>
      <c r="T44" s="178"/>
      <c r="U44" s="178"/>
      <c r="V44" s="178"/>
      <c r="W44" s="178"/>
      <c r="X44" s="178"/>
      <c r="Y44" s="178"/>
      <c r="Z44" s="178"/>
      <c r="AA44" s="178"/>
      <c r="AB44" s="178"/>
      <c r="AC44" s="178"/>
    </row>
    <row r="45" ht="15.75" customHeight="1">
      <c r="A45" s="179"/>
      <c r="B45" s="175"/>
      <c r="C45" s="174"/>
      <c r="D45" s="174"/>
      <c r="E45" s="175"/>
      <c r="F45" s="175"/>
      <c r="G45" s="175"/>
      <c r="H45" s="175"/>
      <c r="I45" s="175"/>
      <c r="J45" s="175"/>
      <c r="K45" s="175"/>
      <c r="L45" s="175"/>
      <c r="M45" s="175"/>
      <c r="N45" s="175"/>
      <c r="O45" s="37"/>
      <c r="P45" s="181"/>
      <c r="Q45" s="178"/>
      <c r="R45" s="177"/>
      <c r="S45" s="177"/>
      <c r="T45" s="178"/>
      <c r="U45" s="178"/>
      <c r="V45" s="178"/>
      <c r="W45" s="178"/>
      <c r="X45" s="178"/>
      <c r="Y45" s="178"/>
      <c r="Z45" s="178"/>
      <c r="AA45" s="178"/>
      <c r="AB45" s="178"/>
      <c r="AC45" s="178"/>
    </row>
    <row r="46" ht="26.25" customHeight="1">
      <c r="A46" s="179"/>
      <c r="B46" s="175"/>
      <c r="C46" s="174"/>
      <c r="D46" s="174"/>
      <c r="E46" s="175"/>
      <c r="F46" s="175"/>
      <c r="G46" s="175"/>
      <c r="H46" s="175"/>
      <c r="I46" s="175"/>
      <c r="J46" s="175"/>
      <c r="K46" s="175"/>
      <c r="L46" s="175"/>
      <c r="M46" s="175"/>
      <c r="N46" s="175"/>
      <c r="O46" s="37"/>
      <c r="P46" s="172"/>
      <c r="Q46" s="172"/>
      <c r="R46" s="172"/>
      <c r="S46" s="172"/>
      <c r="T46" s="172"/>
      <c r="U46" s="172"/>
      <c r="V46" s="172"/>
      <c r="W46" s="172"/>
      <c r="X46" s="172"/>
      <c r="Y46" s="172"/>
      <c r="Z46" s="172"/>
      <c r="AA46" s="172"/>
      <c r="AB46" s="172"/>
      <c r="AC46" s="172"/>
    </row>
    <row r="47" ht="15.75" customHeight="1">
      <c r="A47" s="179"/>
      <c r="B47" s="175"/>
      <c r="C47" s="174"/>
      <c r="D47" s="174"/>
      <c r="E47" s="175"/>
      <c r="F47" s="175"/>
      <c r="G47" s="175"/>
      <c r="H47" s="175"/>
      <c r="I47" s="175"/>
      <c r="J47" s="175"/>
      <c r="K47" s="175"/>
      <c r="L47" s="175"/>
      <c r="M47" s="175"/>
      <c r="N47" s="175"/>
      <c r="O47" s="37"/>
      <c r="P47" s="176"/>
      <c r="Q47" s="178"/>
      <c r="R47" s="177"/>
      <c r="S47" s="178"/>
      <c r="T47" s="178"/>
      <c r="U47" s="178"/>
      <c r="V47" s="178"/>
      <c r="W47" s="178"/>
      <c r="X47" s="178"/>
      <c r="Y47" s="178"/>
      <c r="Z47" s="178"/>
      <c r="AA47" s="178"/>
      <c r="AB47" s="178"/>
      <c r="AC47" s="178"/>
    </row>
    <row r="48" ht="15.75" customHeight="1">
      <c r="A48" s="182"/>
      <c r="B48" s="175"/>
      <c r="C48" s="174"/>
      <c r="D48" s="174"/>
      <c r="E48" s="175"/>
      <c r="F48" s="175"/>
      <c r="G48" s="175"/>
      <c r="H48" s="175"/>
      <c r="I48" s="175"/>
      <c r="J48" s="175"/>
      <c r="K48" s="175"/>
      <c r="L48" s="175"/>
      <c r="M48" s="175"/>
      <c r="N48" s="175"/>
      <c r="O48" s="37"/>
      <c r="P48" s="180"/>
      <c r="Q48" s="178"/>
      <c r="R48" s="177"/>
      <c r="S48" s="178"/>
      <c r="T48" s="178"/>
      <c r="U48" s="178"/>
      <c r="V48" s="178"/>
      <c r="W48" s="178"/>
      <c r="X48" s="178"/>
      <c r="Y48" s="178"/>
      <c r="Z48" s="178"/>
      <c r="AA48" s="178"/>
      <c r="AB48" s="178"/>
      <c r="AC48" s="178"/>
    </row>
    <row r="49" ht="15.75" customHeight="1">
      <c r="A49" s="183"/>
      <c r="B49" s="170"/>
      <c r="C49" s="170"/>
      <c r="D49" s="170"/>
      <c r="E49" s="170"/>
      <c r="F49" s="170"/>
      <c r="G49" s="170"/>
      <c r="H49" s="170"/>
      <c r="I49" s="170"/>
      <c r="J49" s="170"/>
      <c r="K49" s="170"/>
      <c r="L49" s="170"/>
      <c r="M49" s="170"/>
      <c r="N49" s="170"/>
      <c r="O49" s="37"/>
      <c r="P49" s="180"/>
      <c r="Q49" s="178"/>
      <c r="R49" s="177"/>
      <c r="S49" s="178"/>
      <c r="T49" s="178"/>
      <c r="U49" s="178"/>
      <c r="V49" s="178"/>
      <c r="W49" s="178"/>
      <c r="X49" s="178"/>
      <c r="Y49" s="178"/>
      <c r="Z49" s="178"/>
      <c r="AA49" s="178"/>
      <c r="AB49" s="178"/>
      <c r="AC49" s="178"/>
    </row>
    <row r="50" ht="15.75" customHeight="1">
      <c r="A50" s="184"/>
      <c r="B50" s="174"/>
      <c r="C50" s="174"/>
      <c r="D50" s="175"/>
      <c r="E50" s="175"/>
      <c r="F50" s="175"/>
      <c r="G50" s="175"/>
      <c r="H50" s="175"/>
      <c r="I50" s="175"/>
      <c r="J50" s="175"/>
      <c r="K50" s="175"/>
      <c r="L50" s="175"/>
      <c r="M50" s="175"/>
      <c r="N50" s="175"/>
      <c r="O50" s="37"/>
      <c r="P50" s="180"/>
      <c r="Q50" s="178"/>
      <c r="R50" s="178"/>
      <c r="S50" s="178"/>
      <c r="T50" s="178"/>
      <c r="U50" s="178"/>
      <c r="V50" s="178"/>
      <c r="W50" s="178"/>
      <c r="X50" s="178"/>
      <c r="Y50" s="178"/>
      <c r="Z50" s="178"/>
      <c r="AA50" s="178"/>
      <c r="AB50" s="178"/>
      <c r="AC50" s="178"/>
    </row>
    <row r="51" ht="15.75" customHeight="1">
      <c r="A51" s="179"/>
      <c r="B51" s="175"/>
      <c r="C51" s="174"/>
      <c r="D51" s="175"/>
      <c r="E51" s="175"/>
      <c r="F51" s="175"/>
      <c r="G51" s="175"/>
      <c r="H51" s="175"/>
      <c r="I51" s="175"/>
      <c r="J51" s="175"/>
      <c r="K51" s="175"/>
      <c r="L51" s="175"/>
      <c r="M51" s="175"/>
      <c r="N51" s="175"/>
      <c r="O51" s="37"/>
      <c r="P51" s="180"/>
      <c r="Q51" s="178"/>
      <c r="R51" s="178"/>
      <c r="S51" s="178"/>
      <c r="T51" s="178"/>
      <c r="U51" s="178"/>
      <c r="V51" s="178"/>
      <c r="W51" s="178"/>
      <c r="X51" s="178"/>
      <c r="Y51" s="178"/>
      <c r="Z51" s="178"/>
      <c r="AA51" s="178"/>
      <c r="AB51" s="178"/>
      <c r="AC51" s="178"/>
    </row>
    <row r="52" ht="15.75" customHeight="1">
      <c r="A52" s="179"/>
      <c r="B52" s="175"/>
      <c r="C52" s="174"/>
      <c r="D52" s="175"/>
      <c r="E52" s="175"/>
      <c r="F52" s="175"/>
      <c r="G52" s="175"/>
      <c r="H52" s="175"/>
      <c r="I52" s="175"/>
      <c r="J52" s="175"/>
      <c r="K52" s="175"/>
      <c r="L52" s="175"/>
      <c r="M52" s="175"/>
      <c r="N52" s="175"/>
      <c r="O52" s="37"/>
      <c r="P52" s="180"/>
      <c r="Q52" s="178"/>
      <c r="R52" s="178"/>
      <c r="S52" s="178"/>
      <c r="T52" s="178"/>
      <c r="U52" s="178"/>
      <c r="V52" s="178"/>
      <c r="W52" s="178"/>
      <c r="X52" s="178"/>
      <c r="Y52" s="178"/>
      <c r="Z52" s="178"/>
      <c r="AA52" s="178"/>
      <c r="AB52" s="178"/>
      <c r="AC52" s="178"/>
    </row>
    <row r="53" ht="15.75" customHeight="1">
      <c r="A53" s="179"/>
      <c r="B53" s="175"/>
      <c r="C53" s="174"/>
      <c r="D53" s="175"/>
      <c r="E53" s="175"/>
      <c r="F53" s="175"/>
      <c r="G53" s="175"/>
      <c r="H53" s="175"/>
      <c r="I53" s="175"/>
      <c r="J53" s="175"/>
      <c r="K53" s="175"/>
      <c r="L53" s="175"/>
      <c r="M53" s="175"/>
      <c r="N53" s="175"/>
      <c r="O53" s="37"/>
      <c r="P53" s="180"/>
      <c r="Q53" s="178"/>
      <c r="R53" s="177"/>
      <c r="S53" s="178"/>
      <c r="T53" s="178"/>
      <c r="U53" s="178"/>
      <c r="V53" s="178"/>
      <c r="W53" s="178"/>
      <c r="X53" s="178"/>
      <c r="Y53" s="178"/>
      <c r="Z53" s="178"/>
      <c r="AA53" s="178"/>
      <c r="AB53" s="178"/>
      <c r="AC53" s="178"/>
    </row>
    <row r="54" ht="15.75" customHeight="1">
      <c r="A54" s="179"/>
      <c r="B54" s="175"/>
      <c r="C54" s="174"/>
      <c r="D54" s="175"/>
      <c r="E54" s="175"/>
      <c r="F54" s="175"/>
      <c r="G54" s="175"/>
      <c r="H54" s="175"/>
      <c r="I54" s="175"/>
      <c r="J54" s="175"/>
      <c r="K54" s="175"/>
      <c r="L54" s="175"/>
      <c r="M54" s="175"/>
      <c r="N54" s="175"/>
      <c r="O54" s="37"/>
      <c r="P54" s="180"/>
      <c r="Q54" s="178"/>
      <c r="R54" s="178"/>
      <c r="S54" s="178"/>
      <c r="T54" s="178"/>
      <c r="U54" s="178"/>
      <c r="V54" s="178"/>
      <c r="W54" s="178"/>
      <c r="X54" s="178"/>
      <c r="Y54" s="178"/>
      <c r="Z54" s="178"/>
      <c r="AA54" s="178"/>
      <c r="AB54" s="178"/>
      <c r="AC54" s="178"/>
    </row>
    <row r="55" ht="15.75" customHeight="1">
      <c r="A55" s="179"/>
      <c r="B55" s="175"/>
      <c r="C55" s="174"/>
      <c r="D55" s="175"/>
      <c r="E55" s="175"/>
      <c r="F55" s="175"/>
      <c r="G55" s="175"/>
      <c r="H55" s="175"/>
      <c r="I55" s="175"/>
      <c r="J55" s="175"/>
      <c r="K55" s="175"/>
      <c r="L55" s="175"/>
      <c r="M55" s="175"/>
      <c r="N55" s="175"/>
      <c r="O55" s="37"/>
      <c r="P55" s="180"/>
      <c r="Q55" s="178"/>
      <c r="R55" s="178"/>
      <c r="S55" s="178"/>
      <c r="T55" s="178"/>
      <c r="U55" s="178"/>
      <c r="V55" s="178"/>
      <c r="W55" s="178"/>
      <c r="X55" s="178"/>
      <c r="Y55" s="178"/>
      <c r="Z55" s="178"/>
      <c r="AA55" s="178"/>
      <c r="AB55" s="178"/>
      <c r="AC55" s="178"/>
    </row>
    <row r="56" ht="15.75" customHeight="1">
      <c r="A56" s="179"/>
      <c r="B56" s="175"/>
      <c r="C56" s="174"/>
      <c r="D56" s="175"/>
      <c r="E56" s="175"/>
      <c r="F56" s="175"/>
      <c r="G56" s="175"/>
      <c r="H56" s="175"/>
      <c r="I56" s="175"/>
      <c r="J56" s="175"/>
      <c r="K56" s="175"/>
      <c r="L56" s="175"/>
      <c r="M56" s="175"/>
      <c r="N56" s="175"/>
      <c r="O56" s="37"/>
      <c r="P56" s="181"/>
      <c r="Q56" s="178"/>
      <c r="R56" s="178"/>
      <c r="S56" s="178"/>
      <c r="T56" s="178"/>
      <c r="U56" s="178"/>
      <c r="V56" s="178"/>
      <c r="W56" s="178"/>
      <c r="X56" s="178"/>
      <c r="Y56" s="178"/>
      <c r="Z56" s="178"/>
      <c r="AA56" s="178"/>
      <c r="AB56" s="178"/>
      <c r="AC56" s="178"/>
    </row>
    <row r="57" ht="15.75" customHeight="1">
      <c r="A57" s="179"/>
      <c r="B57" s="175"/>
      <c r="C57" s="174"/>
      <c r="D57" s="175"/>
      <c r="E57" s="175"/>
      <c r="F57" s="175"/>
      <c r="G57" s="175"/>
      <c r="H57" s="175"/>
      <c r="I57" s="175"/>
      <c r="J57" s="175"/>
      <c r="K57" s="175"/>
      <c r="L57" s="175"/>
      <c r="M57" s="175"/>
      <c r="N57" s="175"/>
      <c r="O57" s="37"/>
      <c r="P57" s="172"/>
      <c r="Q57" s="171"/>
      <c r="R57" s="171"/>
      <c r="S57" s="171"/>
      <c r="T57" s="171"/>
      <c r="U57" s="171"/>
      <c r="V57" s="171"/>
      <c r="W57" s="171"/>
      <c r="X57" s="171"/>
      <c r="Y57" s="171"/>
      <c r="Z57" s="171"/>
      <c r="AA57" s="171"/>
      <c r="AB57" s="171"/>
      <c r="AC57" s="171"/>
    </row>
    <row r="58" ht="15.75" customHeight="1">
      <c r="A58" s="179"/>
      <c r="B58" s="175"/>
      <c r="C58" s="174"/>
      <c r="D58" s="175"/>
      <c r="E58" s="175"/>
      <c r="F58" s="175"/>
      <c r="G58" s="175"/>
      <c r="H58" s="175"/>
      <c r="I58" s="175"/>
      <c r="J58" s="175"/>
      <c r="K58" s="175"/>
      <c r="L58" s="175"/>
      <c r="M58" s="175"/>
      <c r="N58" s="175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</row>
    <row r="59" ht="15.75" customHeight="1">
      <c r="A59" s="179"/>
      <c r="B59" s="175"/>
      <c r="C59" s="174"/>
      <c r="D59" s="175"/>
      <c r="E59" s="175"/>
      <c r="F59" s="175"/>
      <c r="G59" s="175"/>
      <c r="H59" s="175"/>
      <c r="I59" s="175"/>
      <c r="J59" s="175"/>
      <c r="K59" s="175"/>
      <c r="L59" s="175"/>
      <c r="M59" s="175"/>
      <c r="N59" s="175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</row>
    <row r="60" ht="15.75" customHeight="1">
      <c r="A60" s="179"/>
      <c r="B60" s="175"/>
      <c r="C60" s="174"/>
      <c r="D60" s="175"/>
      <c r="E60" s="175"/>
      <c r="F60" s="175"/>
      <c r="G60" s="175"/>
      <c r="H60" s="175"/>
      <c r="I60" s="175"/>
      <c r="J60" s="175"/>
      <c r="K60" s="175"/>
      <c r="L60" s="175"/>
      <c r="M60" s="175"/>
      <c r="N60" s="175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</row>
    <row r="61" ht="15.75" customHeight="1">
      <c r="A61" s="179"/>
      <c r="B61" s="175"/>
      <c r="C61" s="174"/>
      <c r="D61" s="175"/>
      <c r="E61" s="175"/>
      <c r="F61" s="175"/>
      <c r="G61" s="175"/>
      <c r="H61" s="175"/>
      <c r="I61" s="175"/>
      <c r="J61" s="175"/>
      <c r="K61" s="175"/>
      <c r="L61" s="175"/>
      <c r="M61" s="175"/>
      <c r="N61" s="175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</row>
    <row r="62" ht="15.75" customHeight="1">
      <c r="A62" s="182"/>
      <c r="B62" s="175"/>
      <c r="C62" s="174"/>
      <c r="D62" s="175"/>
      <c r="E62" s="175"/>
      <c r="F62" s="175"/>
      <c r="G62" s="175"/>
      <c r="H62" s="175"/>
      <c r="I62" s="175"/>
      <c r="J62" s="175"/>
      <c r="K62" s="175"/>
      <c r="L62" s="175"/>
      <c r="M62" s="175"/>
      <c r="N62" s="175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</row>
    <row r="63" ht="15.75" customHeight="1">
      <c r="A63" s="170"/>
      <c r="B63" s="170"/>
      <c r="C63" s="185"/>
      <c r="D63" s="185"/>
      <c r="E63" s="185"/>
      <c r="F63" s="185"/>
      <c r="G63" s="185"/>
      <c r="H63" s="185"/>
      <c r="I63" s="185"/>
      <c r="J63" s="185"/>
      <c r="K63" s="185"/>
      <c r="L63" s="185"/>
      <c r="M63" s="185"/>
      <c r="N63" s="185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</row>
    <row r="64" ht="15.7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</row>
    <row r="65" ht="15.7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</row>
    <row r="66" ht="15.7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</row>
    <row r="67" ht="15.7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</row>
    <row r="68" ht="15.7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</row>
    <row r="69" ht="15.7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3.5"/>
    <col customWidth="1" min="2" max="2" width="9.0"/>
    <col customWidth="1" min="3" max="14" width="4.63"/>
    <col customWidth="1" min="15" max="15" width="19.38"/>
    <col customWidth="1" min="16" max="16" width="42.13"/>
    <col customWidth="1" min="17" max="17" width="30.13"/>
    <col customWidth="1" min="18" max="26" width="15.13"/>
  </cols>
  <sheetData>
    <row r="1" ht="15.75" customHeight="1">
      <c r="A1" s="186" t="s">
        <v>257</v>
      </c>
      <c r="B1" s="187" t="s">
        <v>71</v>
      </c>
      <c r="C1" s="187" t="s">
        <v>0</v>
      </c>
      <c r="D1" s="187" t="s">
        <v>1</v>
      </c>
      <c r="E1" s="187" t="s">
        <v>2</v>
      </c>
      <c r="F1" s="187" t="s">
        <v>3</v>
      </c>
      <c r="G1" s="187" t="s">
        <v>4</v>
      </c>
      <c r="H1" s="187" t="s">
        <v>5</v>
      </c>
      <c r="I1" s="187" t="s">
        <v>6</v>
      </c>
      <c r="J1" s="187" t="s">
        <v>7</v>
      </c>
      <c r="K1" s="187" t="s">
        <v>8</v>
      </c>
      <c r="L1" s="187" t="s">
        <v>9</v>
      </c>
      <c r="M1" s="187" t="s">
        <v>10</v>
      </c>
      <c r="N1" s="188" t="s">
        <v>11</v>
      </c>
      <c r="P1" s="189">
        <v>44820.0</v>
      </c>
    </row>
    <row r="2" ht="23.25" customHeight="1">
      <c r="A2" s="190" t="s">
        <v>258</v>
      </c>
      <c r="B2" s="191"/>
      <c r="C2" s="191">
        <v>5197.0</v>
      </c>
      <c r="D2" s="191">
        <v>4632.0</v>
      </c>
      <c r="E2" s="191">
        <v>4788.0</v>
      </c>
      <c r="F2" s="191">
        <v>4864.0</v>
      </c>
      <c r="G2" s="191">
        <v>5495.0</v>
      </c>
      <c r="H2" s="191">
        <v>5210.0</v>
      </c>
      <c r="I2" s="191">
        <v>5533.0</v>
      </c>
      <c r="J2" s="191">
        <v>5049.0</v>
      </c>
      <c r="K2" s="191">
        <v>4934.0</v>
      </c>
      <c r="L2" s="191">
        <v>6447.0</v>
      </c>
      <c r="M2" s="191">
        <v>4933.0</v>
      </c>
      <c r="N2" s="191">
        <v>3596.0</v>
      </c>
      <c r="O2" s="130">
        <v>3559.0</v>
      </c>
      <c r="P2" s="131">
        <v>3711.0</v>
      </c>
      <c r="Q2" s="130">
        <v>2950.0</v>
      </c>
      <c r="R2" s="130" t="s">
        <v>259</v>
      </c>
    </row>
    <row r="3" ht="15.75" customHeight="1">
      <c r="A3" s="192" t="s">
        <v>260</v>
      </c>
      <c r="B3" s="192">
        <v>365890.0</v>
      </c>
      <c r="C3" s="191">
        <v>800.0</v>
      </c>
      <c r="D3" s="191">
        <v>800.0</v>
      </c>
      <c r="E3" s="191">
        <v>800.0</v>
      </c>
      <c r="F3" s="191">
        <v>0.0</v>
      </c>
      <c r="G3" s="191">
        <v>800.0</v>
      </c>
      <c r="H3" s="191">
        <v>800.0</v>
      </c>
      <c r="I3" s="191">
        <v>800.0</v>
      </c>
      <c r="J3" s="191">
        <v>800.0</v>
      </c>
      <c r="K3" s="191">
        <v>800.0</v>
      </c>
      <c r="L3" s="191">
        <v>1600.0</v>
      </c>
      <c r="M3" s="191">
        <v>0.0</v>
      </c>
      <c r="N3" s="191">
        <v>1625.0</v>
      </c>
      <c r="O3" s="130">
        <v>800.0</v>
      </c>
      <c r="P3" s="130">
        <v>800.0</v>
      </c>
      <c r="Q3" s="130">
        <v>1600.0</v>
      </c>
      <c r="R3" s="130" t="s">
        <v>261</v>
      </c>
    </row>
    <row r="4" ht="15.75" customHeight="1">
      <c r="A4" s="192" t="s">
        <v>262</v>
      </c>
      <c r="B4" s="192" t="s">
        <v>223</v>
      </c>
      <c r="C4" s="191">
        <v>207.0</v>
      </c>
      <c r="D4" s="191">
        <v>207.0</v>
      </c>
      <c r="E4" s="191">
        <v>198.0</v>
      </c>
      <c r="F4" s="191">
        <v>198.0</v>
      </c>
      <c r="G4" s="191">
        <v>198.0</v>
      </c>
      <c r="H4" s="191">
        <v>198.0</v>
      </c>
      <c r="I4" s="191">
        <v>198.0</v>
      </c>
      <c r="J4" s="191">
        <v>198.0</v>
      </c>
      <c r="K4" s="191">
        <v>198.0</v>
      </c>
      <c r="L4" s="191">
        <v>198.0</v>
      </c>
      <c r="M4" s="191">
        <v>198.0</v>
      </c>
      <c r="N4" s="191">
        <v>198.0</v>
      </c>
      <c r="O4" s="130">
        <v>198.0</v>
      </c>
      <c r="P4" s="130">
        <v>0.0</v>
      </c>
      <c r="Q4" s="130">
        <v>450.0</v>
      </c>
      <c r="R4" s="130" t="s">
        <v>263</v>
      </c>
    </row>
    <row r="5" ht="15.75" customHeight="1">
      <c r="A5" s="192" t="s">
        <v>264</v>
      </c>
      <c r="B5" s="192" t="s">
        <v>223</v>
      </c>
      <c r="C5" s="191">
        <v>600.0</v>
      </c>
      <c r="D5" s="191">
        <v>601.0</v>
      </c>
      <c r="E5" s="191">
        <v>599.0</v>
      </c>
      <c r="F5" s="191">
        <v>599.0</v>
      </c>
      <c r="G5" s="191">
        <v>598.0</v>
      </c>
      <c r="H5" s="191">
        <v>598.0</v>
      </c>
      <c r="I5" s="191">
        <v>348.0</v>
      </c>
      <c r="J5" s="191">
        <v>320.0</v>
      </c>
      <c r="K5" s="191">
        <v>540.0</v>
      </c>
      <c r="L5" s="191">
        <v>0.0</v>
      </c>
      <c r="M5" s="191">
        <v>250.0</v>
      </c>
      <c r="N5" s="191">
        <v>0.0</v>
      </c>
      <c r="O5" s="130">
        <v>278.0</v>
      </c>
      <c r="P5" s="131">
        <v>290.0</v>
      </c>
      <c r="Q5" s="130">
        <v>350.0</v>
      </c>
      <c r="R5" s="130" t="s">
        <v>265</v>
      </c>
    </row>
    <row r="6" ht="15.75" customHeight="1">
      <c r="A6" s="192" t="s">
        <v>106</v>
      </c>
      <c r="B6" s="191">
        <v>12750.0</v>
      </c>
      <c r="C6" s="191">
        <v>1500.0</v>
      </c>
      <c r="D6" s="191">
        <v>1500.0</v>
      </c>
      <c r="E6" s="191">
        <v>1000.0</v>
      </c>
      <c r="F6" s="191">
        <v>2500.0</v>
      </c>
      <c r="G6" s="191">
        <v>2000.0</v>
      </c>
      <c r="H6" s="191">
        <v>1000.0</v>
      </c>
      <c r="I6" s="191">
        <v>2000.0</v>
      </c>
      <c r="J6" s="191">
        <v>2000.0</v>
      </c>
      <c r="K6" s="191">
        <v>2000.0</v>
      </c>
      <c r="L6" s="191">
        <v>3157.0</v>
      </c>
      <c r="M6" s="191">
        <v>250.0</v>
      </c>
      <c r="N6" s="191">
        <v>1000.0</v>
      </c>
      <c r="O6" s="130">
        <v>71.0</v>
      </c>
      <c r="P6" s="130">
        <v>2000.0</v>
      </c>
      <c r="Q6" s="130">
        <v>150.0</v>
      </c>
      <c r="R6" s="130" t="s">
        <v>266</v>
      </c>
    </row>
    <row r="7" ht="15.75" customHeight="1">
      <c r="A7" s="192" t="s">
        <v>241</v>
      </c>
      <c r="B7" s="192">
        <v>0.0</v>
      </c>
      <c r="C7" s="191">
        <v>392.0</v>
      </c>
      <c r="D7" s="191">
        <v>258.0</v>
      </c>
      <c r="E7" s="191">
        <v>234.0</v>
      </c>
      <c r="F7" s="191">
        <v>412.0</v>
      </c>
      <c r="G7" s="191">
        <v>205.0</v>
      </c>
      <c r="H7" s="191">
        <v>704.0</v>
      </c>
      <c r="I7" s="191">
        <v>246.0</v>
      </c>
      <c r="J7" s="191">
        <v>254.0</v>
      </c>
      <c r="K7" s="191">
        <v>0.0</v>
      </c>
      <c r="L7" s="191">
        <v>283.0</v>
      </c>
      <c r="M7" s="191">
        <v>100.0</v>
      </c>
      <c r="N7" s="191">
        <v>27.0</v>
      </c>
      <c r="O7" s="130">
        <v>156.0</v>
      </c>
      <c r="P7" s="130">
        <v>0.0</v>
      </c>
    </row>
    <row r="8" ht="15.75" customHeight="1">
      <c r="A8" s="192" t="s">
        <v>228</v>
      </c>
      <c r="B8" s="192" t="s">
        <v>223</v>
      </c>
      <c r="C8" s="191">
        <v>316.0</v>
      </c>
      <c r="D8" s="191">
        <v>322.0</v>
      </c>
      <c r="E8" s="191">
        <v>358.0</v>
      </c>
      <c r="F8" s="191">
        <v>237.0</v>
      </c>
      <c r="G8" s="191">
        <v>228.0</v>
      </c>
      <c r="H8" s="191">
        <v>228.0</v>
      </c>
      <c r="I8" s="191">
        <v>238.0</v>
      </c>
      <c r="J8" s="191">
        <v>0.0</v>
      </c>
      <c r="K8" s="191">
        <v>0.0</v>
      </c>
      <c r="L8" s="191">
        <v>225.0</v>
      </c>
      <c r="M8" s="191">
        <v>199.0</v>
      </c>
      <c r="N8" s="191">
        <v>96.0</v>
      </c>
      <c r="O8" s="130">
        <v>130.0</v>
      </c>
      <c r="P8" s="130">
        <v>0.0</v>
      </c>
    </row>
    <row r="9" ht="15.75" customHeight="1">
      <c r="A9" s="192" t="s">
        <v>267</v>
      </c>
      <c r="B9" s="192" t="s">
        <v>223</v>
      </c>
      <c r="C9" s="191">
        <v>158.0</v>
      </c>
      <c r="D9" s="191">
        <v>79.0</v>
      </c>
      <c r="E9" s="191">
        <v>79.0</v>
      </c>
      <c r="F9" s="191">
        <v>79.0</v>
      </c>
      <c r="G9" s="191">
        <v>79.0</v>
      </c>
      <c r="H9" s="191">
        <v>89.0</v>
      </c>
      <c r="I9" s="191">
        <v>89.0</v>
      </c>
      <c r="J9" s="191">
        <v>89.0</v>
      </c>
      <c r="K9" s="191">
        <v>89.0</v>
      </c>
      <c r="L9" s="191">
        <v>89.0</v>
      </c>
      <c r="M9" s="191">
        <v>89.0</v>
      </c>
      <c r="N9" s="191">
        <v>89.0</v>
      </c>
      <c r="O9" s="130">
        <v>79.0</v>
      </c>
      <c r="P9" s="130">
        <v>0.0</v>
      </c>
    </row>
    <row r="10" ht="15.75" customHeight="1">
      <c r="A10" s="192" t="s">
        <v>229</v>
      </c>
      <c r="B10" s="192"/>
      <c r="C10" s="191">
        <v>0.0</v>
      </c>
      <c r="D10" s="191">
        <v>0.0</v>
      </c>
      <c r="E10" s="191">
        <v>0.0</v>
      </c>
      <c r="F10" s="191">
        <v>0.0</v>
      </c>
      <c r="G10" s="191">
        <v>143.0</v>
      </c>
      <c r="H10" s="191">
        <v>0.0</v>
      </c>
      <c r="I10" s="191">
        <v>0.0</v>
      </c>
      <c r="J10" s="191">
        <v>164.0</v>
      </c>
      <c r="K10" s="191">
        <v>0.0</v>
      </c>
      <c r="L10" s="191">
        <v>0.0</v>
      </c>
      <c r="M10" s="191">
        <v>0.0</v>
      </c>
      <c r="N10" s="191">
        <v>0.0</v>
      </c>
      <c r="P10" s="131">
        <v>164.0</v>
      </c>
    </row>
    <row r="11" ht="15.75" customHeight="1">
      <c r="A11" s="192" t="s">
        <v>230</v>
      </c>
      <c r="B11" s="191">
        <v>500.0</v>
      </c>
      <c r="C11" s="191">
        <v>299.0</v>
      </c>
      <c r="D11" s="191">
        <v>4962.0</v>
      </c>
      <c r="E11" s="191">
        <v>1449.0</v>
      </c>
      <c r="F11" s="191">
        <v>534.0</v>
      </c>
      <c r="G11" s="191">
        <v>213.0</v>
      </c>
      <c r="H11" s="191">
        <v>209.0</v>
      </c>
      <c r="I11" s="191">
        <v>215.0</v>
      </c>
      <c r="J11" s="191">
        <v>223.0</v>
      </c>
      <c r="K11" s="191">
        <v>190.0</v>
      </c>
      <c r="L11" s="191">
        <v>170.0</v>
      </c>
      <c r="M11" s="191">
        <v>0.0</v>
      </c>
      <c r="N11" s="191">
        <v>100.0</v>
      </c>
      <c r="P11" s="131">
        <v>221.0</v>
      </c>
    </row>
    <row r="12" ht="15.75" customHeight="1">
      <c r="A12" s="192" t="s">
        <v>268</v>
      </c>
      <c r="B12" s="192"/>
      <c r="C12" s="191">
        <v>1000.0</v>
      </c>
      <c r="D12" s="191">
        <v>750.0</v>
      </c>
      <c r="E12" s="191">
        <v>0.0</v>
      </c>
      <c r="F12" s="191">
        <v>0.0</v>
      </c>
      <c r="G12" s="191">
        <v>750.0</v>
      </c>
      <c r="H12" s="191">
        <v>750.0</v>
      </c>
      <c r="I12" s="191">
        <v>1100.0</v>
      </c>
      <c r="J12" s="191">
        <v>750.0</v>
      </c>
      <c r="K12" s="191">
        <v>1000.0</v>
      </c>
      <c r="L12" s="191">
        <v>578.0</v>
      </c>
      <c r="M12" s="191">
        <v>1278.0</v>
      </c>
      <c r="N12" s="191">
        <v>278.0</v>
      </c>
      <c r="O12" s="132">
        <f>Sum(O3:O11)</f>
        <v>1712</v>
      </c>
      <c r="P12" s="130">
        <v>0.0</v>
      </c>
      <c r="Q12" s="132">
        <f>Sum(Q3:Q11)</f>
        <v>2550</v>
      </c>
    </row>
    <row r="13" ht="15.75" customHeight="1">
      <c r="A13" s="191" t="s">
        <v>33</v>
      </c>
      <c r="B13" s="192">
        <f>Sum(B3)</f>
        <v>365890</v>
      </c>
      <c r="C13" s="191">
        <f t="shared" ref="C13:N13" si="1">Sum(C3:C12)</f>
        <v>5272</v>
      </c>
      <c r="D13" s="191">
        <f t="shared" si="1"/>
        <v>9479</v>
      </c>
      <c r="E13" s="191">
        <f t="shared" si="1"/>
        <v>4717</v>
      </c>
      <c r="F13" s="191">
        <f t="shared" si="1"/>
        <v>4559</v>
      </c>
      <c r="G13" s="191">
        <f t="shared" si="1"/>
        <v>5214</v>
      </c>
      <c r="H13" s="191">
        <f t="shared" si="1"/>
        <v>4576</v>
      </c>
      <c r="I13" s="191">
        <f t="shared" si="1"/>
        <v>5234</v>
      </c>
      <c r="J13" s="191">
        <f t="shared" si="1"/>
        <v>4798</v>
      </c>
      <c r="K13" s="191">
        <f t="shared" si="1"/>
        <v>4817</v>
      </c>
      <c r="L13" s="191">
        <f t="shared" si="1"/>
        <v>6300</v>
      </c>
      <c r="M13" s="191">
        <f t="shared" si="1"/>
        <v>2364</v>
      </c>
      <c r="N13" s="191">
        <f t="shared" si="1"/>
        <v>3413</v>
      </c>
      <c r="O13" s="132">
        <f>O2-O12</f>
        <v>1847</v>
      </c>
      <c r="P13" s="131">
        <f>Sum(P3:P12)</f>
        <v>3475</v>
      </c>
    </row>
    <row r="14" ht="15.75" customHeight="1">
      <c r="A14" s="193" t="s">
        <v>269</v>
      </c>
      <c r="B14" s="188" t="s">
        <v>71</v>
      </c>
      <c r="C14" s="188" t="s">
        <v>0</v>
      </c>
      <c r="D14" s="188" t="s">
        <v>1</v>
      </c>
      <c r="E14" s="188" t="s">
        <v>2</v>
      </c>
      <c r="F14" s="188" t="s">
        <v>3</v>
      </c>
      <c r="G14" s="188" t="s">
        <v>4</v>
      </c>
      <c r="H14" s="188" t="s">
        <v>5</v>
      </c>
      <c r="I14" s="188" t="s">
        <v>6</v>
      </c>
      <c r="J14" s="188" t="s">
        <v>7</v>
      </c>
      <c r="K14" s="188" t="s">
        <v>8</v>
      </c>
      <c r="L14" s="188" t="s">
        <v>9</v>
      </c>
      <c r="M14" s="188" t="s">
        <v>10</v>
      </c>
      <c r="N14" s="188" t="s">
        <v>11</v>
      </c>
      <c r="P14" s="194" t="s">
        <v>270</v>
      </c>
    </row>
    <row r="15" ht="15.75" customHeight="1">
      <c r="A15" s="195" t="s">
        <v>271</v>
      </c>
      <c r="B15" s="196"/>
      <c r="C15" s="196">
        <v>4632.0</v>
      </c>
      <c r="D15" s="196">
        <v>4606.0</v>
      </c>
      <c r="E15" s="196">
        <v>4959.0</v>
      </c>
      <c r="F15" s="196">
        <v>4598.0</v>
      </c>
      <c r="G15" s="196">
        <v>4598.0</v>
      </c>
      <c r="H15" s="196">
        <v>5034.0</v>
      </c>
      <c r="I15" s="196">
        <v>4820.0</v>
      </c>
      <c r="J15" s="196">
        <v>4980.0</v>
      </c>
      <c r="K15" s="196">
        <v>3559.0</v>
      </c>
      <c r="L15" s="196">
        <v>4969.0</v>
      </c>
      <c r="M15" s="196">
        <v>5226.0</v>
      </c>
      <c r="N15" s="196">
        <v>4857.0</v>
      </c>
      <c r="P15" s="131" t="s">
        <v>272</v>
      </c>
    </row>
    <row r="16" ht="15.75" customHeight="1">
      <c r="A16" s="197" t="s">
        <v>260</v>
      </c>
      <c r="B16" s="197">
        <f>B3</f>
        <v>365890</v>
      </c>
      <c r="C16" s="196">
        <v>800.0</v>
      </c>
      <c r="D16" s="196">
        <v>800.0</v>
      </c>
      <c r="E16" s="196">
        <v>800.0</v>
      </c>
      <c r="F16" s="196">
        <v>800.0</v>
      </c>
      <c r="G16" s="196">
        <v>800.0</v>
      </c>
      <c r="H16" s="196">
        <v>800.0</v>
      </c>
      <c r="I16" s="196">
        <v>800.0</v>
      </c>
      <c r="J16" s="196">
        <v>800.0</v>
      </c>
      <c r="K16" s="196">
        <v>0.0</v>
      </c>
      <c r="L16" s="196">
        <v>1600.0</v>
      </c>
      <c r="M16" s="196">
        <v>0.0</v>
      </c>
      <c r="N16" s="196">
        <v>1625.0</v>
      </c>
      <c r="P16" s="131" t="s">
        <v>273</v>
      </c>
    </row>
    <row r="17" ht="15.75" customHeight="1">
      <c r="A17" s="197" t="s">
        <v>274</v>
      </c>
      <c r="B17" s="197" t="s">
        <v>223</v>
      </c>
      <c r="C17" s="198">
        <v>470.0</v>
      </c>
      <c r="D17" s="198">
        <v>470.0</v>
      </c>
      <c r="E17" s="198">
        <v>528.0</v>
      </c>
      <c r="F17" s="198">
        <v>444.0</v>
      </c>
      <c r="G17" s="198">
        <v>472.0</v>
      </c>
      <c r="H17" s="198">
        <v>472.0</v>
      </c>
      <c r="I17" s="198">
        <v>472.0</v>
      </c>
      <c r="J17" s="198">
        <v>528.0</v>
      </c>
      <c r="K17" s="198">
        <v>0.0</v>
      </c>
      <c r="L17" s="199">
        <v>540.0</v>
      </c>
      <c r="M17" s="198">
        <v>250.0</v>
      </c>
      <c r="N17" s="198">
        <v>537.0</v>
      </c>
      <c r="O17" s="131" t="s">
        <v>275</v>
      </c>
      <c r="P17" s="131" t="s">
        <v>276</v>
      </c>
      <c r="Q17" s="131">
        <v>310700.0</v>
      </c>
      <c r="R17" s="130">
        <v>44300.0</v>
      </c>
      <c r="S17" s="130">
        <v>355000.0</v>
      </c>
    </row>
    <row r="18" ht="15.75" customHeight="1">
      <c r="A18" s="197" t="s">
        <v>277</v>
      </c>
      <c r="B18" s="197" t="s">
        <v>223</v>
      </c>
      <c r="C18" s="196">
        <v>200.0</v>
      </c>
      <c r="D18" s="196">
        <v>200.0</v>
      </c>
      <c r="E18" s="196">
        <v>200.0</v>
      </c>
      <c r="F18" s="196">
        <v>0.0</v>
      </c>
      <c r="G18" s="196">
        <v>0.0</v>
      </c>
      <c r="H18" s="196">
        <v>100.0</v>
      </c>
      <c r="I18" s="196">
        <v>200.0</v>
      </c>
      <c r="J18" s="196">
        <v>200.0</v>
      </c>
      <c r="K18" s="196">
        <v>120.0</v>
      </c>
      <c r="L18" s="197">
        <v>200.0</v>
      </c>
      <c r="M18" s="196">
        <v>0.0</v>
      </c>
      <c r="N18" s="196">
        <v>160.0</v>
      </c>
      <c r="P18" s="130" t="s">
        <v>278</v>
      </c>
      <c r="Q18" s="130" t="s">
        <v>279</v>
      </c>
    </row>
    <row r="19" ht="15.75" customHeight="1">
      <c r="A19" s="197" t="s">
        <v>106</v>
      </c>
      <c r="B19" s="196">
        <f t="shared" ref="B19:B20" si="2">B6</f>
        <v>12750</v>
      </c>
      <c r="C19" s="196">
        <v>2000.0</v>
      </c>
      <c r="D19" s="196">
        <v>1250.0</v>
      </c>
      <c r="E19" s="196">
        <v>1000.0</v>
      </c>
      <c r="F19" s="196">
        <v>2000.0</v>
      </c>
      <c r="G19" s="196">
        <v>2000.0</v>
      </c>
      <c r="H19" s="196">
        <v>1750.0</v>
      </c>
      <c r="I19" s="196">
        <v>2000.0</v>
      </c>
      <c r="J19" s="196">
        <v>1500.0</v>
      </c>
      <c r="K19" s="196">
        <v>0.0</v>
      </c>
      <c r="L19" s="196">
        <v>250.0</v>
      </c>
      <c r="M19" s="196">
        <v>75.0</v>
      </c>
      <c r="N19" s="196">
        <v>1000.0</v>
      </c>
    </row>
    <row r="20" ht="15.75" customHeight="1">
      <c r="A20" s="197" t="s">
        <v>241</v>
      </c>
      <c r="B20" s="197">
        <f t="shared" si="2"/>
        <v>0</v>
      </c>
      <c r="C20" s="196">
        <v>0.0</v>
      </c>
      <c r="D20" s="196">
        <v>0.0</v>
      </c>
      <c r="E20" s="196">
        <v>0.0</v>
      </c>
      <c r="F20" s="196">
        <v>0.0</v>
      </c>
      <c r="G20" s="196">
        <v>0.0</v>
      </c>
      <c r="H20" s="196">
        <v>391.0</v>
      </c>
      <c r="I20" s="196">
        <v>472.0</v>
      </c>
      <c r="J20" s="196">
        <v>500.0</v>
      </c>
      <c r="K20" s="196">
        <v>2610.0</v>
      </c>
      <c r="L20" s="196">
        <v>152.0</v>
      </c>
      <c r="M20" s="196">
        <v>22.0</v>
      </c>
      <c r="N20" s="197">
        <v>0.0</v>
      </c>
    </row>
    <row r="21" ht="15.75" customHeight="1">
      <c r="A21" s="197" t="s">
        <v>228</v>
      </c>
      <c r="B21" s="197"/>
      <c r="C21" s="196">
        <v>0.0</v>
      </c>
      <c r="D21" s="196">
        <v>0.0</v>
      </c>
      <c r="E21" s="196">
        <v>0.0</v>
      </c>
      <c r="F21" s="196">
        <v>0.0</v>
      </c>
      <c r="G21" s="196">
        <v>0.0</v>
      </c>
      <c r="H21" s="196">
        <v>0.0</v>
      </c>
      <c r="I21" s="196">
        <v>0.0</v>
      </c>
      <c r="J21" s="196">
        <v>240.0</v>
      </c>
      <c r="K21" s="196">
        <v>229.0</v>
      </c>
      <c r="L21" s="196">
        <v>0.0</v>
      </c>
      <c r="M21" s="196">
        <v>0.0</v>
      </c>
      <c r="N21" s="197">
        <v>0.0</v>
      </c>
    </row>
    <row r="22" ht="15.75" customHeight="1">
      <c r="A22" s="197" t="s">
        <v>244</v>
      </c>
      <c r="B22" s="197"/>
      <c r="C22" s="196">
        <v>150.0</v>
      </c>
      <c r="D22" s="196">
        <v>142.0</v>
      </c>
      <c r="E22" s="196">
        <v>0.0</v>
      </c>
      <c r="F22" s="196">
        <v>152.0</v>
      </c>
      <c r="G22" s="196">
        <v>36.0</v>
      </c>
      <c r="H22" s="196">
        <v>163.0</v>
      </c>
      <c r="I22" s="196">
        <v>0.0</v>
      </c>
      <c r="J22" s="197">
        <v>0.0</v>
      </c>
      <c r="K22" s="196">
        <v>0.0</v>
      </c>
      <c r="L22" s="196">
        <v>0.0</v>
      </c>
      <c r="M22" s="196">
        <v>157.0</v>
      </c>
      <c r="N22" s="197"/>
      <c r="P22" s="131" t="s">
        <v>280</v>
      </c>
    </row>
    <row r="23" ht="15.75" customHeight="1">
      <c r="A23" s="197" t="s">
        <v>230</v>
      </c>
      <c r="B23" s="196">
        <f>B11</f>
        <v>500</v>
      </c>
      <c r="C23" s="196">
        <v>371.0</v>
      </c>
      <c r="D23" s="196">
        <v>1610.0</v>
      </c>
      <c r="E23" s="196">
        <v>2000.0</v>
      </c>
      <c r="F23" s="196">
        <v>0.0</v>
      </c>
      <c r="G23" s="196">
        <v>453.0</v>
      </c>
      <c r="H23" s="196">
        <v>288.0</v>
      </c>
      <c r="I23" s="196">
        <v>0.0</v>
      </c>
      <c r="J23" s="196">
        <v>324.0</v>
      </c>
      <c r="K23" s="196">
        <v>134.0</v>
      </c>
      <c r="L23" s="196">
        <v>62.0</v>
      </c>
      <c r="M23" s="196">
        <v>576.0</v>
      </c>
      <c r="N23" s="196">
        <v>245.0</v>
      </c>
      <c r="P23" s="131" t="s">
        <v>281</v>
      </c>
    </row>
    <row r="24" ht="15.75" customHeight="1">
      <c r="A24" s="197" t="s">
        <v>247</v>
      </c>
      <c r="B24" s="197"/>
      <c r="C24" s="196">
        <v>750.0</v>
      </c>
      <c r="D24" s="196">
        <v>0.0</v>
      </c>
      <c r="E24" s="196">
        <v>250.0</v>
      </c>
      <c r="F24" s="196">
        <v>750.0</v>
      </c>
      <c r="G24" s="196">
        <v>750.0</v>
      </c>
      <c r="H24" s="196">
        <v>750.0</v>
      </c>
      <c r="I24" s="196">
        <v>750.0</v>
      </c>
      <c r="J24" s="196">
        <v>750.0</v>
      </c>
      <c r="K24" s="196">
        <v>278.0</v>
      </c>
      <c r="L24" s="197">
        <v>2000.0</v>
      </c>
      <c r="M24" s="196">
        <v>1000.0</v>
      </c>
      <c r="N24" s="197">
        <v>750.0</v>
      </c>
      <c r="P24" s="131" t="s">
        <v>282</v>
      </c>
    </row>
    <row r="25">
      <c r="A25" s="196" t="s">
        <v>33</v>
      </c>
      <c r="B25" s="197">
        <f>Sum(B3)</f>
        <v>365890</v>
      </c>
      <c r="C25" s="196">
        <f t="shared" ref="C25:N25" si="3">Sum(C16:C24)</f>
        <v>4741</v>
      </c>
      <c r="D25" s="196">
        <f t="shared" si="3"/>
        <v>4472</v>
      </c>
      <c r="E25" s="196">
        <f t="shared" si="3"/>
        <v>4778</v>
      </c>
      <c r="F25" s="196">
        <f t="shared" si="3"/>
        <v>4146</v>
      </c>
      <c r="G25" s="196">
        <f t="shared" si="3"/>
        <v>4511</v>
      </c>
      <c r="H25" s="196">
        <f t="shared" si="3"/>
        <v>4714</v>
      </c>
      <c r="I25" s="196">
        <f t="shared" si="3"/>
        <v>4694</v>
      </c>
      <c r="J25" s="196">
        <f t="shared" si="3"/>
        <v>4842</v>
      </c>
      <c r="K25" s="196">
        <f t="shared" si="3"/>
        <v>3371</v>
      </c>
      <c r="L25" s="197">
        <f t="shared" si="3"/>
        <v>4804</v>
      </c>
      <c r="M25" s="196">
        <f t="shared" si="3"/>
        <v>2080</v>
      </c>
      <c r="N25" s="196">
        <f t="shared" si="3"/>
        <v>4317</v>
      </c>
      <c r="P25" s="200" t="s">
        <v>283</v>
      </c>
      <c r="Q25" s="131" t="s">
        <v>284</v>
      </c>
    </row>
    <row r="26" ht="15.75" customHeight="1">
      <c r="A26" s="188" t="s">
        <v>118</v>
      </c>
      <c r="B26" s="188"/>
      <c r="C26" s="201">
        <f t="shared" ref="C26:N26" si="4">C13+C25</f>
        <v>10013</v>
      </c>
      <c r="D26" s="201">
        <f t="shared" si="4"/>
        <v>13951</v>
      </c>
      <c r="E26" s="201">
        <f t="shared" si="4"/>
        <v>9495</v>
      </c>
      <c r="F26" s="201">
        <f t="shared" si="4"/>
        <v>8705</v>
      </c>
      <c r="G26" s="201">
        <f t="shared" si="4"/>
        <v>9725</v>
      </c>
      <c r="H26" s="201">
        <f t="shared" si="4"/>
        <v>9290</v>
      </c>
      <c r="I26" s="201">
        <f t="shared" si="4"/>
        <v>9928</v>
      </c>
      <c r="J26" s="201">
        <f t="shared" si="4"/>
        <v>9640</v>
      </c>
      <c r="K26" s="201">
        <f t="shared" si="4"/>
        <v>8188</v>
      </c>
      <c r="L26" s="201">
        <f t="shared" si="4"/>
        <v>11104</v>
      </c>
      <c r="M26" s="201">
        <f t="shared" si="4"/>
        <v>4444</v>
      </c>
      <c r="N26" s="201">
        <f t="shared" si="4"/>
        <v>7730</v>
      </c>
    </row>
    <row r="27" ht="15.75" customHeight="1"/>
    <row r="28" ht="15.75" customHeight="1">
      <c r="A28" s="202" t="s">
        <v>285</v>
      </c>
      <c r="B28" s="202" t="s">
        <v>35</v>
      </c>
      <c r="C28" s="202" t="s">
        <v>0</v>
      </c>
      <c r="D28" s="202" t="s">
        <v>1</v>
      </c>
      <c r="E28" s="202" t="s">
        <v>2</v>
      </c>
      <c r="F28" s="202" t="s">
        <v>3</v>
      </c>
      <c r="G28" s="202" t="s">
        <v>4</v>
      </c>
      <c r="H28" s="202" t="s">
        <v>5</v>
      </c>
      <c r="I28" s="202" t="s">
        <v>6</v>
      </c>
      <c r="J28" s="202" t="s">
        <v>7</v>
      </c>
      <c r="K28" s="202" t="s">
        <v>8</v>
      </c>
      <c r="L28" s="202" t="s">
        <v>9</v>
      </c>
      <c r="M28" s="202" t="s">
        <v>10</v>
      </c>
      <c r="N28" s="202" t="s">
        <v>11</v>
      </c>
    </row>
    <row r="29" ht="15.75" customHeight="1">
      <c r="A29" s="202"/>
      <c r="B29" s="202"/>
      <c r="C29" s="202"/>
      <c r="D29" s="202"/>
      <c r="E29" s="202"/>
      <c r="F29" s="202"/>
      <c r="G29" s="202"/>
      <c r="H29" s="202"/>
      <c r="I29" s="202"/>
      <c r="J29" s="202"/>
      <c r="K29" s="202"/>
      <c r="L29" s="202"/>
      <c r="M29" s="202"/>
      <c r="N29" s="202"/>
    </row>
    <row r="30" ht="15.75" customHeight="1">
      <c r="A30" s="202" t="s">
        <v>286</v>
      </c>
      <c r="B30" s="202">
        <v>366612.0</v>
      </c>
      <c r="C30" s="203">
        <v>0.0</v>
      </c>
      <c r="D30" s="203">
        <v>0.0</v>
      </c>
      <c r="E30" s="203">
        <v>0.0</v>
      </c>
      <c r="F30" s="203">
        <v>0.0</v>
      </c>
      <c r="G30" s="203">
        <v>0.0</v>
      </c>
      <c r="H30" s="203">
        <v>0.0</v>
      </c>
      <c r="I30" s="203">
        <v>0.0</v>
      </c>
      <c r="J30" s="203">
        <v>0.0</v>
      </c>
      <c r="K30" s="203">
        <v>0.0</v>
      </c>
      <c r="L30" s="203">
        <v>0.0</v>
      </c>
      <c r="M30" s="203">
        <v>0.0</v>
      </c>
      <c r="N30" s="203">
        <v>0.0</v>
      </c>
    </row>
    <row r="31" ht="15.75" customHeight="1">
      <c r="A31" s="202" t="s">
        <v>287</v>
      </c>
      <c r="B31" s="202">
        <v>500.0</v>
      </c>
      <c r="C31" s="203">
        <v>0.0</v>
      </c>
      <c r="D31" s="203">
        <v>0.0</v>
      </c>
      <c r="E31" s="203">
        <v>0.0</v>
      </c>
      <c r="F31" s="203">
        <v>0.0</v>
      </c>
      <c r="G31" s="203">
        <v>0.0</v>
      </c>
      <c r="H31" s="203">
        <v>0.0</v>
      </c>
      <c r="I31" s="203">
        <v>0.0</v>
      </c>
      <c r="J31" s="203">
        <v>0.0</v>
      </c>
      <c r="K31" s="203">
        <v>0.0</v>
      </c>
      <c r="L31" s="203">
        <v>0.0</v>
      </c>
      <c r="M31" s="203">
        <v>0.0</v>
      </c>
      <c r="N31" s="203">
        <v>0.0</v>
      </c>
    </row>
    <row r="32" ht="15.75" customHeight="1">
      <c r="A32" s="202" t="s">
        <v>288</v>
      </c>
      <c r="B32" s="202">
        <v>0.0</v>
      </c>
      <c r="C32" s="203">
        <v>0.0</v>
      </c>
      <c r="D32" s="203">
        <v>0.0</v>
      </c>
      <c r="E32" s="203">
        <v>0.0</v>
      </c>
      <c r="F32" s="203">
        <v>0.0</v>
      </c>
      <c r="G32" s="203">
        <v>0.0</v>
      </c>
      <c r="H32" s="203">
        <v>0.0</v>
      </c>
      <c r="I32" s="203">
        <v>0.0</v>
      </c>
      <c r="J32" s="203">
        <v>0.0</v>
      </c>
      <c r="K32" s="203">
        <v>0.0</v>
      </c>
      <c r="L32" s="203">
        <v>0.0</v>
      </c>
      <c r="M32" s="203">
        <v>0.0</v>
      </c>
      <c r="N32" s="203">
        <v>0.0</v>
      </c>
    </row>
    <row r="33" ht="15.75" customHeight="1">
      <c r="A33" s="204" t="s">
        <v>289</v>
      </c>
      <c r="B33" s="202">
        <v>1500.0</v>
      </c>
      <c r="C33" s="203">
        <v>0.0</v>
      </c>
      <c r="D33" s="203">
        <v>0.0</v>
      </c>
      <c r="E33" s="203">
        <v>0.0</v>
      </c>
      <c r="F33" s="202">
        <v>310.0</v>
      </c>
      <c r="G33" s="203">
        <v>0.0</v>
      </c>
      <c r="H33" s="203">
        <v>0.0</v>
      </c>
      <c r="I33" s="203">
        <v>0.0</v>
      </c>
      <c r="J33" s="203">
        <v>0.0</v>
      </c>
      <c r="K33" s="203">
        <v>0.0</v>
      </c>
      <c r="L33" s="203">
        <v>0.0</v>
      </c>
      <c r="M33" s="203">
        <v>0.0</v>
      </c>
      <c r="N33" s="203">
        <v>0.0</v>
      </c>
    </row>
    <row r="34" ht="15.75" customHeight="1">
      <c r="A34" s="202" t="s">
        <v>290</v>
      </c>
      <c r="B34" s="202">
        <v>9121.0</v>
      </c>
      <c r="C34" s="202">
        <v>278.0</v>
      </c>
      <c r="D34" s="202">
        <v>278.0</v>
      </c>
      <c r="E34" s="202">
        <v>418.0</v>
      </c>
      <c r="F34" s="202">
        <v>278.0</v>
      </c>
      <c r="G34" s="202">
        <v>278.0</v>
      </c>
      <c r="H34" s="202">
        <v>278.0</v>
      </c>
      <c r="I34" s="202">
        <v>278.0</v>
      </c>
      <c r="J34" s="205">
        <v>7035.0</v>
      </c>
      <c r="K34" s="203">
        <v>0.0</v>
      </c>
      <c r="L34" s="203">
        <v>0.0</v>
      </c>
      <c r="M34" s="203">
        <v>0.0</v>
      </c>
      <c r="N34" s="203">
        <v>0.0</v>
      </c>
    </row>
    <row r="35" ht="15.75" customHeight="1">
      <c r="A35" s="202"/>
      <c r="B35" s="202"/>
      <c r="C35" s="202"/>
      <c r="D35" s="202"/>
      <c r="E35" s="203"/>
      <c r="F35" s="202"/>
      <c r="G35" s="202"/>
      <c r="H35" s="202"/>
      <c r="I35" s="203"/>
      <c r="J35" s="203"/>
      <c r="K35" s="203"/>
      <c r="L35" s="203"/>
      <c r="M35" s="203"/>
      <c r="N35" s="203"/>
    </row>
    <row r="36" ht="15.75" customHeight="1">
      <c r="A36" s="206" t="s">
        <v>291</v>
      </c>
      <c r="B36" s="206">
        <f>Sum(B30:B34)</f>
        <v>377733</v>
      </c>
      <c r="C36" s="206">
        <f t="shared" ref="C36:N36" si="5">Sum(C29:C35)</f>
        <v>278</v>
      </c>
      <c r="D36" s="206">
        <f t="shared" si="5"/>
        <v>278</v>
      </c>
      <c r="E36" s="206">
        <f t="shared" si="5"/>
        <v>418</v>
      </c>
      <c r="F36" s="206">
        <f t="shared" si="5"/>
        <v>588</v>
      </c>
      <c r="G36" s="206">
        <f t="shared" si="5"/>
        <v>278</v>
      </c>
      <c r="H36" s="206">
        <f t="shared" si="5"/>
        <v>278</v>
      </c>
      <c r="I36" s="206">
        <f t="shared" si="5"/>
        <v>278</v>
      </c>
      <c r="J36" s="206">
        <f t="shared" si="5"/>
        <v>7035</v>
      </c>
      <c r="K36" s="206">
        <f t="shared" si="5"/>
        <v>0</v>
      </c>
      <c r="L36" s="206">
        <f t="shared" si="5"/>
        <v>0</v>
      </c>
      <c r="M36" s="206">
        <f t="shared" si="5"/>
        <v>0</v>
      </c>
      <c r="N36" s="206">
        <f t="shared" si="5"/>
        <v>0</v>
      </c>
    </row>
    <row r="37" ht="15.75" customHeight="1">
      <c r="A37" s="207"/>
      <c r="B37" s="207"/>
      <c r="C37" s="208"/>
      <c r="D37" s="208"/>
      <c r="E37" s="208"/>
      <c r="F37" s="208"/>
      <c r="G37" s="208"/>
      <c r="H37" s="208"/>
      <c r="I37" s="208"/>
      <c r="J37" s="208"/>
      <c r="K37" s="208"/>
      <c r="L37" s="208"/>
      <c r="M37" s="208"/>
      <c r="N37" s="208"/>
    </row>
    <row r="38" ht="15.75" customHeight="1">
      <c r="A38" s="206" t="s">
        <v>292</v>
      </c>
      <c r="B38" s="206">
        <v>240.0</v>
      </c>
      <c r="C38" s="209">
        <v>0.0</v>
      </c>
      <c r="D38" s="209">
        <v>0.0</v>
      </c>
      <c r="E38" s="209">
        <v>0.0</v>
      </c>
      <c r="F38" s="209">
        <v>0.0</v>
      </c>
      <c r="G38" s="209">
        <v>0.0</v>
      </c>
      <c r="H38" s="209">
        <v>0.0</v>
      </c>
      <c r="I38" s="209">
        <v>0.0</v>
      </c>
      <c r="J38" s="209">
        <v>0.0</v>
      </c>
      <c r="K38" s="209">
        <v>0.0</v>
      </c>
      <c r="L38" s="209">
        <v>0.0</v>
      </c>
      <c r="M38" s="209">
        <v>0.0</v>
      </c>
      <c r="N38" s="209">
        <v>0.0</v>
      </c>
    </row>
    <row r="39" ht="15.75" customHeight="1">
      <c r="A39" s="206" t="s">
        <v>293</v>
      </c>
      <c r="B39" s="206">
        <v>8750.0</v>
      </c>
      <c r="C39" s="209">
        <v>8490.0</v>
      </c>
      <c r="D39" s="209">
        <v>8230.0</v>
      </c>
      <c r="E39" s="209">
        <v>7970.0</v>
      </c>
      <c r="F39" s="209">
        <v>7710.0</v>
      </c>
      <c r="G39" s="209">
        <v>7450.0</v>
      </c>
      <c r="H39" s="209">
        <v>7190.0</v>
      </c>
      <c r="I39" s="209">
        <v>6930.0</v>
      </c>
      <c r="J39" s="209">
        <v>6670.0</v>
      </c>
      <c r="K39" s="209">
        <v>6410.0</v>
      </c>
      <c r="L39" s="209">
        <v>6150.0</v>
      </c>
      <c r="M39" s="209">
        <v>5890.0</v>
      </c>
      <c r="N39" s="209">
        <v>5630.0</v>
      </c>
    </row>
    <row r="40" ht="15.75" customHeight="1">
      <c r="A40" s="188"/>
      <c r="B40" s="206"/>
      <c r="C40" s="209"/>
      <c r="D40" s="209"/>
      <c r="E40" s="209"/>
      <c r="F40" s="209"/>
      <c r="G40" s="209"/>
      <c r="H40" s="209"/>
      <c r="I40" s="209"/>
      <c r="J40" s="209"/>
      <c r="K40" s="209"/>
      <c r="L40" s="209"/>
      <c r="M40" s="209"/>
      <c r="N40" s="209"/>
    </row>
    <row r="41" ht="15.75" customHeight="1">
      <c r="A41" s="206" t="s">
        <v>33</v>
      </c>
      <c r="B41" s="206">
        <v>0.0</v>
      </c>
      <c r="C41" s="209">
        <f t="shared" ref="C41:N41" si="6">Sum(C38:C39)</f>
        <v>8490</v>
      </c>
      <c r="D41" s="209">
        <f t="shared" si="6"/>
        <v>8230</v>
      </c>
      <c r="E41" s="209">
        <f t="shared" si="6"/>
        <v>7970</v>
      </c>
      <c r="F41" s="209">
        <f t="shared" si="6"/>
        <v>7710</v>
      </c>
      <c r="G41" s="209">
        <f t="shared" si="6"/>
        <v>7450</v>
      </c>
      <c r="H41" s="209">
        <f t="shared" si="6"/>
        <v>7190</v>
      </c>
      <c r="I41" s="209">
        <f t="shared" si="6"/>
        <v>6930</v>
      </c>
      <c r="J41" s="209">
        <f t="shared" si="6"/>
        <v>6670</v>
      </c>
      <c r="K41" s="209">
        <f t="shared" si="6"/>
        <v>6410</v>
      </c>
      <c r="L41" s="209">
        <f t="shared" si="6"/>
        <v>6150</v>
      </c>
      <c r="M41" s="209">
        <f t="shared" si="6"/>
        <v>5890</v>
      </c>
      <c r="N41" s="209">
        <f t="shared" si="6"/>
        <v>5630</v>
      </c>
    </row>
    <row r="42" ht="15.75" customHeight="1">
      <c r="A42" s="207"/>
      <c r="B42" s="207"/>
      <c r="C42" s="208"/>
      <c r="D42" s="208"/>
      <c r="E42" s="208"/>
      <c r="F42" s="208"/>
      <c r="G42" s="208"/>
      <c r="H42" s="208"/>
      <c r="I42" s="208"/>
      <c r="J42" s="208"/>
      <c r="K42" s="208"/>
      <c r="L42" s="208"/>
      <c r="M42" s="208"/>
      <c r="N42" s="208"/>
    </row>
    <row r="43" ht="15.75" customHeight="1">
      <c r="A43" s="206" t="s">
        <v>294</v>
      </c>
      <c r="B43" s="206"/>
      <c r="C43" s="206"/>
      <c r="D43" s="206"/>
      <c r="E43" s="209"/>
      <c r="F43" s="206"/>
      <c r="G43" s="206"/>
      <c r="H43" s="209"/>
      <c r="I43" s="209"/>
      <c r="J43" s="209"/>
      <c r="K43" s="209"/>
      <c r="L43" s="209"/>
      <c r="M43" s="209"/>
      <c r="N43" s="209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>
      <c r="C49" s="130" t="s">
        <v>295</v>
      </c>
    </row>
    <row r="50" ht="15.75" customHeight="1">
      <c r="C50" s="130">
        <v>37.0</v>
      </c>
    </row>
    <row r="51" ht="15.75" customHeight="1">
      <c r="C51" s="130">
        <v>5.0</v>
      </c>
    </row>
    <row r="52" ht="15.75" customHeight="1">
      <c r="C52" s="130">
        <v>10.0</v>
      </c>
    </row>
    <row r="53" ht="15.75" customHeight="1">
      <c r="C53" s="130">
        <v>247.0</v>
      </c>
    </row>
    <row r="54" ht="15.75" customHeight="1">
      <c r="C54" s="130">
        <v>4.0</v>
      </c>
    </row>
    <row r="55" ht="15.75" customHeight="1">
      <c r="C55" s="130">
        <v>14.0</v>
      </c>
    </row>
    <row r="56" ht="15.75" customHeight="1">
      <c r="C56" s="130">
        <v>3.0</v>
      </c>
    </row>
    <row r="57" ht="15.75" customHeight="1">
      <c r="C57" s="130">
        <v>3.0</v>
      </c>
    </row>
    <row r="58" ht="15.75" customHeight="1">
      <c r="C58" s="130">
        <v>8.0</v>
      </c>
    </row>
    <row r="59" ht="15.75" customHeight="1">
      <c r="C59" s="130">
        <v>31.0</v>
      </c>
    </row>
    <row r="60" ht="15.75" customHeight="1">
      <c r="C60" s="130">
        <v>3.0</v>
      </c>
    </row>
    <row r="61" ht="15.75" customHeight="1">
      <c r="C61" s="132">
        <f>Sum(C50:C60)</f>
        <v>365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4.25"/>
    <col customWidth="1" min="2" max="2" width="10.88"/>
    <col customWidth="1" min="3" max="3" width="6.0"/>
    <col customWidth="1" min="4" max="5" width="6.13"/>
    <col customWidth="1" min="6" max="8" width="6.38"/>
    <col customWidth="1" min="9" max="9" width="6.75"/>
    <col customWidth="1" min="10" max="10" width="6.38"/>
    <col customWidth="1" min="11" max="11" width="6.25"/>
    <col customWidth="1" min="12" max="12" width="6.0"/>
    <col customWidth="1" min="13" max="14" width="6.25"/>
    <col customWidth="1" min="15" max="15" width="13.88"/>
    <col customWidth="1" min="16" max="16" width="44.38"/>
    <col customWidth="1" min="17" max="26" width="15.13"/>
  </cols>
  <sheetData>
    <row r="1" ht="15.75" customHeight="1">
      <c r="A1" s="210" t="s">
        <v>296</v>
      </c>
      <c r="B1" s="211" t="s">
        <v>71</v>
      </c>
      <c r="C1" s="211" t="s">
        <v>297</v>
      </c>
      <c r="D1" s="211" t="s">
        <v>298</v>
      </c>
      <c r="E1" s="211" t="s">
        <v>299</v>
      </c>
      <c r="F1" s="211" t="s">
        <v>300</v>
      </c>
      <c r="G1" s="211" t="s">
        <v>301</v>
      </c>
      <c r="H1" s="211" t="s">
        <v>302</v>
      </c>
      <c r="I1" s="211" t="s">
        <v>303</v>
      </c>
      <c r="J1" s="211" t="s">
        <v>304</v>
      </c>
      <c r="K1" s="211" t="s">
        <v>305</v>
      </c>
      <c r="L1" s="211" t="s">
        <v>306</v>
      </c>
      <c r="M1" s="211" t="s">
        <v>307</v>
      </c>
      <c r="N1" s="212" t="s">
        <v>308</v>
      </c>
      <c r="Y1" s="130" t="s">
        <v>309</v>
      </c>
      <c r="Z1" s="130" t="s">
        <v>310</v>
      </c>
    </row>
    <row r="2" ht="15.75" customHeight="1">
      <c r="A2" s="213" t="s">
        <v>311</v>
      </c>
      <c r="B2" s="214"/>
      <c r="C2" s="214">
        <v>4640.0</v>
      </c>
      <c r="D2" s="214">
        <v>9856.0</v>
      </c>
      <c r="E2" s="214">
        <v>4384.0</v>
      </c>
      <c r="F2" s="214">
        <v>4868.0</v>
      </c>
      <c r="G2" s="214">
        <v>4206.0</v>
      </c>
      <c r="H2" s="214">
        <v>3590.0</v>
      </c>
      <c r="I2" s="214">
        <v>3625.0</v>
      </c>
      <c r="J2" s="214">
        <v>4365.0</v>
      </c>
      <c r="K2" s="214">
        <v>4542.0</v>
      </c>
      <c r="L2" s="214">
        <v>3917.0</v>
      </c>
      <c r="M2" s="214">
        <v>3685.0</v>
      </c>
      <c r="N2" s="214">
        <v>4088.0</v>
      </c>
    </row>
    <row r="3" ht="15.75" customHeight="1">
      <c r="A3" s="214" t="s">
        <v>260</v>
      </c>
      <c r="B3" s="214">
        <v>377927.0</v>
      </c>
      <c r="C3" s="214">
        <v>0.0</v>
      </c>
      <c r="D3" s="214">
        <v>1600.0</v>
      </c>
      <c r="E3" s="214">
        <v>800.0</v>
      </c>
      <c r="F3" s="214">
        <v>800.0</v>
      </c>
      <c r="G3" s="214">
        <v>800.0</v>
      </c>
      <c r="H3" s="214">
        <v>800.0</v>
      </c>
      <c r="I3" s="214">
        <v>800.0</v>
      </c>
      <c r="J3" s="214">
        <v>800.0</v>
      </c>
      <c r="K3" s="214">
        <v>800.0</v>
      </c>
      <c r="L3" s="214">
        <v>800.0</v>
      </c>
      <c r="M3" s="214">
        <v>800.0</v>
      </c>
      <c r="N3" s="214">
        <v>800.0</v>
      </c>
      <c r="Y3" s="130" t="s">
        <v>312</v>
      </c>
      <c r="Z3" s="130">
        <v>165.0</v>
      </c>
    </row>
    <row r="4" ht="15.75" customHeight="1">
      <c r="A4" s="214" t="s">
        <v>262</v>
      </c>
      <c r="B4" s="215" t="s">
        <v>223</v>
      </c>
      <c r="C4" s="214">
        <v>116.0</v>
      </c>
      <c r="D4" s="214">
        <v>116.0</v>
      </c>
      <c r="E4" s="214">
        <v>124.0</v>
      </c>
      <c r="F4" s="214">
        <v>262.0</v>
      </c>
      <c r="G4" s="214">
        <v>86.0</v>
      </c>
      <c r="H4" s="214">
        <v>186.0</v>
      </c>
      <c r="I4" s="214">
        <v>207.0</v>
      </c>
      <c r="J4" s="214">
        <v>207.0</v>
      </c>
      <c r="K4" s="214">
        <v>207.0</v>
      </c>
      <c r="L4" s="214">
        <v>207.0</v>
      </c>
      <c r="M4" s="214">
        <v>207.0</v>
      </c>
      <c r="N4" s="214">
        <v>207.0</v>
      </c>
      <c r="Y4" s="130" t="s">
        <v>313</v>
      </c>
      <c r="Z4" s="130">
        <v>0.0</v>
      </c>
    </row>
    <row r="5" ht="15.75" customHeight="1">
      <c r="A5" s="214" t="s">
        <v>314</v>
      </c>
      <c r="B5" s="215" t="s">
        <v>223</v>
      </c>
      <c r="C5" s="214">
        <v>570.0</v>
      </c>
      <c r="D5" s="214">
        <v>570.0</v>
      </c>
      <c r="E5" s="214">
        <v>570.0</v>
      </c>
      <c r="F5" s="214">
        <v>570.0</v>
      </c>
      <c r="G5" s="214">
        <v>570.0</v>
      </c>
      <c r="H5" s="214">
        <v>570.0</v>
      </c>
      <c r="I5" s="214">
        <v>570.0</v>
      </c>
      <c r="J5" s="214">
        <v>570.0</v>
      </c>
      <c r="K5" s="214">
        <v>570.0</v>
      </c>
      <c r="L5" s="214">
        <v>571.0</v>
      </c>
      <c r="M5" s="214">
        <v>570.0</v>
      </c>
      <c r="N5" s="214">
        <v>570.0</v>
      </c>
      <c r="Y5" s="130" t="s">
        <v>315</v>
      </c>
      <c r="Z5" s="130">
        <v>40.0</v>
      </c>
    </row>
    <row r="6" ht="15.75" customHeight="1">
      <c r="A6" s="214" t="s">
        <v>106</v>
      </c>
      <c r="B6" s="214">
        <v>1450.0</v>
      </c>
      <c r="C6" s="214">
        <v>2500.0</v>
      </c>
      <c r="D6" s="214">
        <v>1475.0</v>
      </c>
      <c r="E6" s="214">
        <v>1250.0</v>
      </c>
      <c r="F6" s="214">
        <v>2500.0</v>
      </c>
      <c r="G6" s="214">
        <v>1500.0</v>
      </c>
      <c r="H6" s="214">
        <v>1500.0</v>
      </c>
      <c r="I6" s="214">
        <v>1250.0</v>
      </c>
      <c r="J6" s="214">
        <v>1250.0</v>
      </c>
      <c r="K6" s="214">
        <v>250.0</v>
      </c>
      <c r="L6" s="214">
        <v>1750.0</v>
      </c>
      <c r="M6" s="214">
        <v>1500.0</v>
      </c>
      <c r="N6" s="214">
        <v>1500.0</v>
      </c>
    </row>
    <row r="7" ht="15.75" customHeight="1">
      <c r="A7" s="214" t="s">
        <v>228</v>
      </c>
      <c r="B7" s="215" t="s">
        <v>223</v>
      </c>
      <c r="C7" s="214">
        <v>244.0</v>
      </c>
      <c r="D7" s="214">
        <v>288.0</v>
      </c>
      <c r="E7" s="214">
        <v>265.0</v>
      </c>
      <c r="F7" s="214">
        <v>206.0</v>
      </c>
      <c r="G7" s="214">
        <v>248.0</v>
      </c>
      <c r="H7" s="214">
        <v>107.0</v>
      </c>
      <c r="I7" s="214">
        <v>238.0</v>
      </c>
      <c r="J7" s="214">
        <v>187.0</v>
      </c>
      <c r="K7" s="214">
        <v>220.0</v>
      </c>
      <c r="L7" s="214">
        <v>224.0</v>
      </c>
      <c r="M7" s="214">
        <v>171.0</v>
      </c>
      <c r="N7" s="214">
        <v>205.0</v>
      </c>
    </row>
    <row r="8" ht="15.75" customHeight="1">
      <c r="A8" s="214" t="s">
        <v>316</v>
      </c>
      <c r="B8" s="215" t="s">
        <v>223</v>
      </c>
      <c r="C8" s="214">
        <v>228.0</v>
      </c>
      <c r="D8" s="214">
        <v>228.0</v>
      </c>
      <c r="E8" s="214">
        <v>228.0</v>
      </c>
      <c r="F8" s="214">
        <v>88.0</v>
      </c>
      <c r="G8" s="214">
        <v>158.0</v>
      </c>
      <c r="H8" s="214">
        <v>158.0</v>
      </c>
      <c r="I8" s="214">
        <v>158.0</v>
      </c>
      <c r="J8" s="214">
        <v>158.0</v>
      </c>
      <c r="K8" s="214">
        <v>158.0</v>
      </c>
      <c r="L8" s="214">
        <v>158.0</v>
      </c>
      <c r="M8" s="214">
        <v>158.0</v>
      </c>
      <c r="N8" s="214">
        <v>158.0</v>
      </c>
    </row>
    <row r="9" ht="15.75" customHeight="1">
      <c r="A9" s="214" t="s">
        <v>229</v>
      </c>
      <c r="B9" s="215" t="s">
        <v>223</v>
      </c>
      <c r="C9" s="214">
        <v>196.0</v>
      </c>
      <c r="D9" s="214">
        <v>180.0</v>
      </c>
      <c r="E9" s="214">
        <v>186.0</v>
      </c>
      <c r="F9" s="214">
        <v>145.0</v>
      </c>
      <c r="G9" s="214">
        <v>0.0</v>
      </c>
      <c r="H9" s="214">
        <v>0.0</v>
      </c>
      <c r="I9" s="214">
        <v>151.0</v>
      </c>
      <c r="J9" s="214">
        <v>184.0</v>
      </c>
      <c r="K9" s="214">
        <v>0.0</v>
      </c>
      <c r="L9" s="214">
        <v>180.0</v>
      </c>
      <c r="M9" s="214">
        <v>0.0</v>
      </c>
      <c r="N9" s="214">
        <v>14.0</v>
      </c>
    </row>
    <row r="10" ht="15.75" customHeight="1">
      <c r="A10" s="214" t="s">
        <v>230</v>
      </c>
      <c r="B10" s="215"/>
      <c r="C10" s="214">
        <v>400.0</v>
      </c>
      <c r="D10" s="214">
        <v>5154.0</v>
      </c>
      <c r="E10" s="214">
        <v>500.0</v>
      </c>
      <c r="F10" s="214">
        <v>81.0</v>
      </c>
      <c r="G10" s="214">
        <v>400.0</v>
      </c>
      <c r="H10" s="214">
        <v>0.0</v>
      </c>
      <c r="I10" s="214">
        <v>288.0</v>
      </c>
      <c r="J10" s="214">
        <v>910.0</v>
      </c>
      <c r="K10" s="214">
        <v>1973.0</v>
      </c>
      <c r="L10" s="214">
        <v>0.0</v>
      </c>
      <c r="M10" s="214">
        <v>0.0</v>
      </c>
      <c r="N10" s="214">
        <v>473.0</v>
      </c>
      <c r="O10" s="131" t="s">
        <v>317</v>
      </c>
      <c r="P10" s="131" t="s">
        <v>318</v>
      </c>
    </row>
    <row r="11" ht="15.75" customHeight="1">
      <c r="A11" s="214" t="s">
        <v>33</v>
      </c>
      <c r="B11" s="214">
        <f>Sum(B3, B6)</f>
        <v>379377</v>
      </c>
      <c r="C11" s="214">
        <f t="shared" ref="C11:N11" si="1">Sum(C3:C10)</f>
        <v>4254</v>
      </c>
      <c r="D11" s="214">
        <f t="shared" si="1"/>
        <v>9611</v>
      </c>
      <c r="E11" s="214">
        <f t="shared" si="1"/>
        <v>3923</v>
      </c>
      <c r="F11" s="214">
        <f t="shared" si="1"/>
        <v>4652</v>
      </c>
      <c r="G11" s="214">
        <f t="shared" si="1"/>
        <v>3762</v>
      </c>
      <c r="H11" s="214">
        <f t="shared" si="1"/>
        <v>3321</v>
      </c>
      <c r="I11" s="214">
        <f t="shared" si="1"/>
        <v>3662</v>
      </c>
      <c r="J11" s="214">
        <f t="shared" si="1"/>
        <v>4266</v>
      </c>
      <c r="K11" s="214">
        <f t="shared" si="1"/>
        <v>4178</v>
      </c>
      <c r="L11" s="214">
        <f t="shared" si="1"/>
        <v>3890</v>
      </c>
      <c r="M11" s="214">
        <f t="shared" si="1"/>
        <v>3406</v>
      </c>
      <c r="N11" s="214">
        <f t="shared" si="1"/>
        <v>3927</v>
      </c>
      <c r="O11" s="131">
        <v>650.0</v>
      </c>
      <c r="P11" s="131" t="s">
        <v>319</v>
      </c>
    </row>
    <row r="12" ht="15.75" customHeight="1">
      <c r="A12" s="216" t="s">
        <v>320</v>
      </c>
      <c r="B12" s="217" t="s">
        <v>71</v>
      </c>
      <c r="C12" s="217" t="s">
        <v>321</v>
      </c>
      <c r="D12" s="217" t="s">
        <v>322</v>
      </c>
      <c r="E12" s="217" t="s">
        <v>323</v>
      </c>
      <c r="F12" s="217" t="s">
        <v>324</v>
      </c>
      <c r="G12" s="217" t="s">
        <v>325</v>
      </c>
      <c r="H12" s="217" t="s">
        <v>326</v>
      </c>
      <c r="I12" s="217" t="s">
        <v>327</v>
      </c>
      <c r="J12" s="217" t="s">
        <v>328</v>
      </c>
      <c r="K12" s="217" t="s">
        <v>329</v>
      </c>
      <c r="L12" s="217" t="s">
        <v>330</v>
      </c>
      <c r="M12" s="217" t="s">
        <v>331</v>
      </c>
      <c r="N12" s="217" t="s">
        <v>332</v>
      </c>
    </row>
    <row r="13" ht="15.75" customHeight="1">
      <c r="A13" s="218" t="s">
        <v>311</v>
      </c>
      <c r="B13" s="219"/>
      <c r="C13" s="219">
        <v>5506.0</v>
      </c>
      <c r="D13" s="219">
        <v>4281.0</v>
      </c>
      <c r="E13" s="219">
        <v>4865.0</v>
      </c>
      <c r="F13" s="219">
        <v>4213.0</v>
      </c>
      <c r="G13" s="219">
        <v>4022.0</v>
      </c>
      <c r="H13" s="219">
        <v>5000.0</v>
      </c>
      <c r="I13" s="219">
        <v>7180.0</v>
      </c>
      <c r="J13" s="219">
        <v>3578.0</v>
      </c>
      <c r="K13" s="219">
        <v>3874.0</v>
      </c>
      <c r="L13" s="219">
        <v>3678.0</v>
      </c>
      <c r="M13" s="219">
        <v>4573.0</v>
      </c>
      <c r="N13" s="219">
        <v>3209.0</v>
      </c>
      <c r="O13" s="131" t="s">
        <v>333</v>
      </c>
      <c r="P13" s="131" t="s">
        <v>334</v>
      </c>
    </row>
    <row r="14" ht="15.75" customHeight="1">
      <c r="A14" s="219" t="s">
        <v>260</v>
      </c>
      <c r="B14" s="219">
        <f>B3</f>
        <v>377927</v>
      </c>
      <c r="C14" s="219">
        <v>800.0</v>
      </c>
      <c r="D14" s="219">
        <v>800.0</v>
      </c>
      <c r="E14" s="219">
        <v>800.0</v>
      </c>
      <c r="F14" s="219">
        <v>800.0</v>
      </c>
      <c r="G14" s="219">
        <v>800.0</v>
      </c>
      <c r="H14" s="219">
        <v>800.0</v>
      </c>
      <c r="I14" s="219">
        <v>800.0</v>
      </c>
      <c r="J14" s="219">
        <v>800.0</v>
      </c>
      <c r="K14" s="219">
        <v>800.0</v>
      </c>
      <c r="L14" s="219">
        <v>800.0</v>
      </c>
      <c r="M14" s="219">
        <v>800.0</v>
      </c>
      <c r="N14" s="219">
        <v>800.0</v>
      </c>
    </row>
    <row r="15" ht="15.75" customHeight="1">
      <c r="A15" s="219" t="s">
        <v>335</v>
      </c>
      <c r="B15" s="220" t="s">
        <v>223</v>
      </c>
      <c r="C15" s="219">
        <v>500.0</v>
      </c>
      <c r="D15" s="219">
        <v>500.0</v>
      </c>
      <c r="E15" s="219">
        <v>500.0</v>
      </c>
      <c r="F15" s="219">
        <v>500.0</v>
      </c>
      <c r="G15" s="219">
        <v>500.0</v>
      </c>
      <c r="H15" s="219">
        <v>500.0</v>
      </c>
      <c r="I15" s="219">
        <v>320.0</v>
      </c>
      <c r="J15" s="219">
        <v>500.0</v>
      </c>
      <c r="K15" s="219">
        <v>500.0</v>
      </c>
      <c r="L15" s="219">
        <v>500.0</v>
      </c>
      <c r="M15" s="219">
        <v>500.0</v>
      </c>
      <c r="N15" s="219">
        <v>500.0</v>
      </c>
    </row>
    <row r="16" ht="15.75" customHeight="1">
      <c r="A16" s="219" t="s">
        <v>277</v>
      </c>
      <c r="B16" s="220" t="s">
        <v>223</v>
      </c>
      <c r="C16" s="219">
        <v>200.0</v>
      </c>
      <c r="D16" s="219">
        <v>200.0</v>
      </c>
      <c r="E16" s="219">
        <v>0.0</v>
      </c>
      <c r="F16" s="219">
        <v>0.0</v>
      </c>
      <c r="G16" s="219">
        <v>0.0</v>
      </c>
      <c r="H16" s="219">
        <v>0.0</v>
      </c>
      <c r="I16" s="219">
        <v>0.0</v>
      </c>
      <c r="J16" s="219">
        <v>0.0</v>
      </c>
      <c r="K16" s="219">
        <v>200.0</v>
      </c>
      <c r="L16" s="219">
        <v>0.0</v>
      </c>
      <c r="M16" s="219">
        <v>200.0</v>
      </c>
      <c r="N16" s="219">
        <v>200.0</v>
      </c>
    </row>
    <row r="17" ht="27.0" customHeight="1">
      <c r="A17" s="219" t="s">
        <v>106</v>
      </c>
      <c r="B17" s="219">
        <f>B6</f>
        <v>1450</v>
      </c>
      <c r="C17" s="219">
        <v>1400.0</v>
      </c>
      <c r="D17" s="219">
        <v>1300.0</v>
      </c>
      <c r="E17" s="219">
        <v>3000.0</v>
      </c>
      <c r="F17" s="219">
        <v>2000.0</v>
      </c>
      <c r="G17" s="219">
        <v>2300.0</v>
      </c>
      <c r="H17" s="219">
        <v>1250.0</v>
      </c>
      <c r="I17" s="219">
        <v>1250.0</v>
      </c>
      <c r="J17" s="219">
        <v>1500.0</v>
      </c>
      <c r="K17" s="219">
        <v>2000.0</v>
      </c>
      <c r="L17" s="219">
        <v>2000.0</v>
      </c>
      <c r="M17" s="219">
        <v>2500.0</v>
      </c>
      <c r="N17" s="219">
        <v>2000.0</v>
      </c>
      <c r="O17" s="131" t="s">
        <v>336</v>
      </c>
      <c r="P17" s="131" t="s">
        <v>337</v>
      </c>
    </row>
    <row r="18" ht="15.75" customHeight="1">
      <c r="A18" s="219" t="s">
        <v>316</v>
      </c>
      <c r="B18" s="220" t="s">
        <v>223</v>
      </c>
      <c r="C18" s="219">
        <v>1913.0</v>
      </c>
      <c r="D18" s="219">
        <v>0.0</v>
      </c>
      <c r="E18" s="219">
        <v>0.0</v>
      </c>
      <c r="F18" s="219">
        <v>0.0</v>
      </c>
      <c r="G18" s="219">
        <v>0.0</v>
      </c>
      <c r="H18" s="219">
        <v>1125.0</v>
      </c>
      <c r="I18" s="219">
        <v>0.0</v>
      </c>
      <c r="J18" s="219">
        <v>0.0</v>
      </c>
      <c r="K18" s="219">
        <v>0.0</v>
      </c>
      <c r="L18" s="219">
        <v>0.0</v>
      </c>
      <c r="M18" s="219">
        <v>56.0</v>
      </c>
      <c r="N18" s="219">
        <v>0.0</v>
      </c>
    </row>
    <row r="19" ht="15.75" customHeight="1">
      <c r="A19" s="219" t="s">
        <v>244</v>
      </c>
      <c r="B19" s="220" t="str">
        <f>B9</f>
        <v>n/a</v>
      </c>
      <c r="C19" s="219">
        <v>140.0</v>
      </c>
      <c r="D19" s="219">
        <v>165.0</v>
      </c>
      <c r="E19" s="219">
        <v>0.0</v>
      </c>
      <c r="F19" s="219">
        <v>131.0</v>
      </c>
      <c r="G19" s="219">
        <v>141.0</v>
      </c>
      <c r="H19" s="219">
        <v>157.0</v>
      </c>
      <c r="I19" s="219">
        <v>0.0</v>
      </c>
      <c r="J19" s="219">
        <v>0.0</v>
      </c>
      <c r="K19" s="219">
        <v>50.0</v>
      </c>
      <c r="L19" s="219">
        <v>0.0</v>
      </c>
      <c r="M19" s="219">
        <v>187.0</v>
      </c>
      <c r="N19" s="219">
        <v>208.0</v>
      </c>
    </row>
    <row r="20" ht="15.75" customHeight="1">
      <c r="A20" s="219" t="s">
        <v>230</v>
      </c>
      <c r="B20" s="220"/>
      <c r="C20" s="219">
        <v>0.0</v>
      </c>
      <c r="D20" s="219">
        <v>1003.0</v>
      </c>
      <c r="E20" s="219">
        <v>0.0</v>
      </c>
      <c r="F20" s="219">
        <v>0.0</v>
      </c>
      <c r="G20" s="219">
        <v>0.0</v>
      </c>
      <c r="H20" s="219">
        <v>1000.0</v>
      </c>
      <c r="I20" s="219">
        <v>4416.0</v>
      </c>
      <c r="J20" s="219">
        <v>177.0</v>
      </c>
      <c r="K20" s="219">
        <v>0.0</v>
      </c>
      <c r="L20" s="219">
        <v>198.0</v>
      </c>
      <c r="M20" s="219">
        <v>33.0</v>
      </c>
      <c r="N20" s="219">
        <v>29.0</v>
      </c>
      <c r="O20" s="131"/>
      <c r="P20" s="131"/>
    </row>
    <row r="21" ht="15.75" customHeight="1">
      <c r="A21" s="219" t="s">
        <v>33</v>
      </c>
      <c r="B21" s="219">
        <f>Sum(B3, B6)</f>
        <v>379377</v>
      </c>
      <c r="C21" s="219">
        <f t="shared" ref="C21:N21" si="2">Sum(C14:C20)</f>
        <v>4953</v>
      </c>
      <c r="D21" s="219">
        <f t="shared" si="2"/>
        <v>3968</v>
      </c>
      <c r="E21" s="219">
        <f t="shared" si="2"/>
        <v>4300</v>
      </c>
      <c r="F21" s="219">
        <f t="shared" si="2"/>
        <v>3431</v>
      </c>
      <c r="G21" s="219">
        <f t="shared" si="2"/>
        <v>3741</v>
      </c>
      <c r="H21" s="219">
        <f t="shared" si="2"/>
        <v>4832</v>
      </c>
      <c r="I21" s="219">
        <f t="shared" si="2"/>
        <v>6786</v>
      </c>
      <c r="J21" s="219">
        <f t="shared" si="2"/>
        <v>2977</v>
      </c>
      <c r="K21" s="219">
        <f t="shared" si="2"/>
        <v>3550</v>
      </c>
      <c r="L21" s="219">
        <f t="shared" si="2"/>
        <v>3498</v>
      </c>
      <c r="M21" s="219">
        <f t="shared" si="2"/>
        <v>4276</v>
      </c>
      <c r="N21" s="219">
        <f t="shared" si="2"/>
        <v>3737</v>
      </c>
    </row>
    <row r="22" ht="15.75" customHeight="1">
      <c r="A22" s="221" t="s">
        <v>118</v>
      </c>
      <c r="B22" s="221"/>
      <c r="C22" s="222">
        <f t="shared" ref="C22:N22" si="3">C11+C21</f>
        <v>9207</v>
      </c>
      <c r="D22" s="222">
        <f t="shared" si="3"/>
        <v>13579</v>
      </c>
      <c r="E22" s="222">
        <f t="shared" si="3"/>
        <v>8223</v>
      </c>
      <c r="F22" s="222">
        <f t="shared" si="3"/>
        <v>8083</v>
      </c>
      <c r="G22" s="221">
        <f t="shared" si="3"/>
        <v>7503</v>
      </c>
      <c r="H22" s="221">
        <f t="shared" si="3"/>
        <v>8153</v>
      </c>
      <c r="I22" s="221">
        <f t="shared" si="3"/>
        <v>10448</v>
      </c>
      <c r="J22" s="221">
        <f t="shared" si="3"/>
        <v>7243</v>
      </c>
      <c r="K22" s="221">
        <f t="shared" si="3"/>
        <v>7728</v>
      </c>
      <c r="L22" s="221">
        <f t="shared" si="3"/>
        <v>7388</v>
      </c>
      <c r="M22" s="221">
        <f t="shared" si="3"/>
        <v>7682</v>
      </c>
      <c r="N22" s="221">
        <f t="shared" si="3"/>
        <v>7664</v>
      </c>
    </row>
    <row r="23" ht="15.75" customHeight="1"/>
    <row r="24" ht="15.75" customHeight="1">
      <c r="A24" s="223" t="s">
        <v>285</v>
      </c>
      <c r="B24" s="223" t="s">
        <v>35</v>
      </c>
      <c r="C24" s="223" t="s">
        <v>0</v>
      </c>
      <c r="D24" s="223" t="s">
        <v>1</v>
      </c>
      <c r="E24" s="223" t="s">
        <v>2</v>
      </c>
      <c r="F24" s="223" t="s">
        <v>3</v>
      </c>
      <c r="G24" s="223" t="s">
        <v>4</v>
      </c>
      <c r="H24" s="223" t="s">
        <v>5</v>
      </c>
      <c r="I24" s="223" t="s">
        <v>6</v>
      </c>
      <c r="J24" s="223" t="s">
        <v>7</v>
      </c>
      <c r="K24" s="223" t="s">
        <v>8</v>
      </c>
      <c r="L24" s="223" t="s">
        <v>9</v>
      </c>
      <c r="M24" s="223" t="s">
        <v>10</v>
      </c>
      <c r="N24" s="223" t="s">
        <v>11</v>
      </c>
    </row>
    <row r="25" ht="15.75" customHeight="1">
      <c r="A25" s="223"/>
      <c r="B25" s="223"/>
      <c r="C25" s="223"/>
      <c r="D25" s="223"/>
      <c r="E25" s="223"/>
      <c r="F25" s="223"/>
      <c r="G25" s="223"/>
      <c r="H25" s="223"/>
      <c r="I25" s="223"/>
      <c r="J25" s="223"/>
      <c r="K25" s="223"/>
      <c r="L25" s="223"/>
      <c r="M25" s="223"/>
      <c r="N25" s="223"/>
    </row>
    <row r="26" ht="15.75" customHeight="1">
      <c r="A26" s="223" t="s">
        <v>286</v>
      </c>
      <c r="B26" s="223">
        <v>380000.0</v>
      </c>
      <c r="C26" s="223">
        <v>379310.0</v>
      </c>
      <c r="D26" s="223">
        <v>378620.0</v>
      </c>
      <c r="E26" s="223">
        <v>377927.0</v>
      </c>
      <c r="F26" s="223">
        <v>0.0</v>
      </c>
      <c r="G26" s="223">
        <v>0.0</v>
      </c>
      <c r="H26" s="223">
        <v>0.0</v>
      </c>
      <c r="I26" s="223">
        <v>0.0</v>
      </c>
      <c r="J26" s="223">
        <v>0.0</v>
      </c>
      <c r="K26" s="224">
        <v>0.0</v>
      </c>
      <c r="L26" s="223">
        <v>0.0</v>
      </c>
      <c r="M26" s="224">
        <v>0.0</v>
      </c>
      <c r="N26" s="224">
        <v>0.0</v>
      </c>
    </row>
    <row r="27" ht="15.75" customHeight="1">
      <c r="A27" s="223" t="s">
        <v>338</v>
      </c>
      <c r="B27" s="223">
        <f>B6</f>
        <v>1450</v>
      </c>
      <c r="C27" s="223"/>
      <c r="D27" s="223"/>
      <c r="E27" s="223"/>
      <c r="F27" s="223"/>
      <c r="G27" s="223"/>
      <c r="H27" s="223">
        <v>0.0</v>
      </c>
      <c r="I27" s="223"/>
      <c r="J27" s="223"/>
      <c r="K27" s="224"/>
      <c r="L27" s="223">
        <v>1450.0</v>
      </c>
      <c r="M27" s="224">
        <v>0.0</v>
      </c>
      <c r="N27" s="224">
        <v>0.0</v>
      </c>
    </row>
    <row r="28" ht="15.75" customHeight="1">
      <c r="A28" s="223" t="s">
        <v>339</v>
      </c>
      <c r="B28" s="223">
        <v>6000.0</v>
      </c>
      <c r="C28" s="223">
        <v>2250.0</v>
      </c>
      <c r="D28" s="223">
        <v>500.0</v>
      </c>
      <c r="E28" s="223">
        <v>0.0</v>
      </c>
      <c r="F28" s="223">
        <v>0.0</v>
      </c>
      <c r="G28" s="223">
        <v>0.0</v>
      </c>
      <c r="H28" s="223">
        <v>0.0</v>
      </c>
      <c r="I28" s="223">
        <v>0.0</v>
      </c>
      <c r="J28" s="223">
        <v>0.0</v>
      </c>
      <c r="K28" s="224">
        <v>0.0</v>
      </c>
      <c r="L28" s="223">
        <v>0.0</v>
      </c>
      <c r="M28" s="224">
        <v>0.0</v>
      </c>
      <c r="N28" s="224">
        <v>0.0</v>
      </c>
    </row>
    <row r="29" ht="15.75" customHeight="1">
      <c r="A29" s="223" t="s">
        <v>340</v>
      </c>
      <c r="B29" s="223">
        <v>3000.0</v>
      </c>
      <c r="C29" s="223">
        <v>11332.0</v>
      </c>
      <c r="D29" s="223">
        <v>11082.0</v>
      </c>
      <c r="E29" s="223">
        <v>10832.0</v>
      </c>
      <c r="F29" s="223">
        <v>10582.0</v>
      </c>
      <c r="G29" s="223">
        <v>10332.0</v>
      </c>
      <c r="H29" s="223">
        <v>10660.0</v>
      </c>
      <c r="I29" s="223">
        <v>10500.0</v>
      </c>
      <c r="J29" s="223">
        <v>10300.0</v>
      </c>
      <c r="K29" s="223">
        <v>10050.0</v>
      </c>
      <c r="L29" s="223">
        <v>9800.0</v>
      </c>
      <c r="M29" s="224">
        <v>9550.0</v>
      </c>
      <c r="N29" s="224">
        <v>9300.0</v>
      </c>
      <c r="O29" s="130" t="s">
        <v>341</v>
      </c>
    </row>
    <row r="30" ht="15.75" customHeight="1">
      <c r="A30" s="223"/>
      <c r="B30" s="223"/>
      <c r="C30" s="223"/>
      <c r="D30" s="223"/>
      <c r="E30" s="224"/>
      <c r="F30" s="223"/>
      <c r="G30" s="223"/>
      <c r="H30" s="223"/>
      <c r="I30" s="224"/>
      <c r="J30" s="224"/>
      <c r="K30" s="224"/>
      <c r="L30" s="224"/>
      <c r="M30" s="224"/>
      <c r="N30" s="224"/>
    </row>
    <row r="31" ht="15.75" customHeight="1">
      <c r="A31" s="225" t="s">
        <v>291</v>
      </c>
      <c r="B31" s="225">
        <f>Sum(B26:B29)</f>
        <v>390450</v>
      </c>
      <c r="C31" s="225">
        <f t="shared" ref="C31:N31" si="4">Sum(C25:C30)</f>
        <v>392892</v>
      </c>
      <c r="D31" s="225">
        <f t="shared" si="4"/>
        <v>390202</v>
      </c>
      <c r="E31" s="225">
        <f t="shared" si="4"/>
        <v>388759</v>
      </c>
      <c r="F31" s="225">
        <f t="shared" si="4"/>
        <v>10582</v>
      </c>
      <c r="G31" s="225">
        <f t="shared" si="4"/>
        <v>10332</v>
      </c>
      <c r="H31" s="225">
        <f t="shared" si="4"/>
        <v>10660</v>
      </c>
      <c r="I31" s="226">
        <f t="shared" si="4"/>
        <v>10500</v>
      </c>
      <c r="J31" s="226">
        <f t="shared" si="4"/>
        <v>10300</v>
      </c>
      <c r="K31" s="226">
        <f t="shared" si="4"/>
        <v>10050</v>
      </c>
      <c r="L31" s="226">
        <f t="shared" si="4"/>
        <v>11250</v>
      </c>
      <c r="M31" s="226">
        <f t="shared" si="4"/>
        <v>9550</v>
      </c>
      <c r="N31" s="226">
        <f t="shared" si="4"/>
        <v>9300</v>
      </c>
    </row>
    <row r="32" ht="15.75" customHeight="1">
      <c r="A32" s="207"/>
      <c r="B32" s="207"/>
      <c r="C32" s="208"/>
      <c r="D32" s="208"/>
      <c r="E32" s="208"/>
      <c r="F32" s="208"/>
      <c r="G32" s="208"/>
      <c r="H32" s="208"/>
      <c r="I32" s="208"/>
      <c r="J32" s="208"/>
      <c r="K32" s="208"/>
      <c r="L32" s="208"/>
      <c r="M32" s="208"/>
      <c r="N32" s="208"/>
    </row>
    <row r="33" ht="15.75" customHeight="1">
      <c r="A33" s="227"/>
      <c r="B33" s="227"/>
      <c r="C33" s="228"/>
      <c r="D33" s="228"/>
      <c r="E33" s="228"/>
      <c r="F33" s="228"/>
      <c r="G33" s="228"/>
      <c r="H33" s="228"/>
      <c r="I33" s="228"/>
      <c r="J33" s="228"/>
      <c r="K33" s="228"/>
      <c r="L33" s="228"/>
      <c r="M33" s="228"/>
      <c r="N33" s="228"/>
      <c r="O33" s="37"/>
    </row>
    <row r="34" ht="15.75" customHeight="1">
      <c r="A34" s="227"/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8"/>
      <c r="M34" s="228"/>
      <c r="N34" s="228"/>
      <c r="O34" s="37"/>
    </row>
    <row r="35" ht="15.75" customHeight="1">
      <c r="C35" s="228"/>
      <c r="D35" s="228"/>
      <c r="E35" s="228"/>
      <c r="F35" s="228"/>
      <c r="G35" s="228"/>
      <c r="H35" s="228"/>
      <c r="I35" s="228"/>
      <c r="J35" s="228"/>
      <c r="K35" s="228"/>
      <c r="L35" s="228"/>
      <c r="M35" s="228"/>
      <c r="N35" s="228"/>
      <c r="O35" s="37"/>
    </row>
    <row r="36" ht="15.75" customHeight="1">
      <c r="C36" s="228"/>
      <c r="D36" s="228"/>
      <c r="E36" s="228"/>
      <c r="F36" s="228"/>
      <c r="G36" s="228"/>
      <c r="H36" s="228"/>
      <c r="I36" s="228"/>
      <c r="J36" s="228"/>
      <c r="K36" s="228"/>
      <c r="L36" s="228"/>
      <c r="M36" s="228"/>
      <c r="N36" s="228"/>
      <c r="O36" s="37"/>
    </row>
    <row r="37" ht="15.75" customHeight="1">
      <c r="C37" s="208"/>
      <c r="D37" s="208"/>
      <c r="E37" s="208"/>
      <c r="F37" s="208"/>
      <c r="G37" s="208"/>
      <c r="H37" s="208"/>
      <c r="I37" s="208"/>
      <c r="J37" s="208"/>
      <c r="K37" s="208"/>
      <c r="L37" s="208"/>
      <c r="M37" s="208"/>
      <c r="N37" s="208"/>
    </row>
    <row r="38" ht="15.75" customHeight="1">
      <c r="C38" s="207"/>
      <c r="D38" s="207"/>
      <c r="E38" s="208"/>
      <c r="F38" s="207"/>
      <c r="G38" s="207"/>
      <c r="H38" s="208"/>
      <c r="I38" s="208"/>
      <c r="J38" s="208"/>
      <c r="K38" s="208"/>
      <c r="L38" s="208"/>
      <c r="M38" s="208"/>
      <c r="N38" s="208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3.13"/>
    <col customWidth="1" min="2" max="2" width="10.88"/>
    <col customWidth="1" min="3" max="3" width="6.0"/>
    <col customWidth="1" min="4" max="5" width="6.13"/>
    <col customWidth="1" min="6" max="6" width="6.0"/>
    <col customWidth="1" min="7" max="7" width="6.38"/>
    <col customWidth="1" min="8" max="8" width="6.13"/>
    <col customWidth="1" min="9" max="9" width="6.75"/>
    <col customWidth="1" min="10" max="10" width="6.38"/>
    <col customWidth="1" min="11" max="11" width="6.25"/>
    <col customWidth="1" min="12" max="12" width="6.0"/>
    <col customWidth="1" min="13" max="14" width="6.25"/>
    <col customWidth="1" min="15" max="15" width="14.25"/>
    <col customWidth="1" min="16" max="16" width="28.5"/>
    <col customWidth="1" min="17" max="26" width="15.13"/>
  </cols>
  <sheetData>
    <row r="1" ht="15.75" customHeight="1">
      <c r="A1" s="229" t="s">
        <v>342</v>
      </c>
      <c r="B1" s="230" t="s">
        <v>71</v>
      </c>
      <c r="C1" s="230" t="s">
        <v>343</v>
      </c>
      <c r="D1" s="230" t="s">
        <v>344</v>
      </c>
      <c r="E1" s="230" t="s">
        <v>345</v>
      </c>
      <c r="F1" s="230" t="s">
        <v>346</v>
      </c>
      <c r="G1" s="230" t="s">
        <v>347</v>
      </c>
      <c r="H1" s="230" t="s">
        <v>348</v>
      </c>
      <c r="I1" s="230" t="s">
        <v>349</v>
      </c>
      <c r="J1" s="230" t="s">
        <v>350</v>
      </c>
      <c r="K1" s="230" t="s">
        <v>351</v>
      </c>
      <c r="L1" s="230" t="s">
        <v>352</v>
      </c>
      <c r="M1" s="230" t="s">
        <v>353</v>
      </c>
      <c r="N1" s="231" t="s">
        <v>354</v>
      </c>
    </row>
    <row r="2" ht="15.75" customHeight="1">
      <c r="A2" s="232" t="s">
        <v>355</v>
      </c>
      <c r="B2" s="233"/>
      <c r="C2" s="233">
        <v>4168.0</v>
      </c>
      <c r="D2" s="233">
        <v>4264.0</v>
      </c>
      <c r="E2" s="233">
        <v>4101.0</v>
      </c>
      <c r="F2" s="233">
        <v>7542.0</v>
      </c>
      <c r="G2" s="233">
        <v>4096.0</v>
      </c>
      <c r="H2" s="233">
        <v>4430.0</v>
      </c>
      <c r="I2" s="233">
        <v>4096.0</v>
      </c>
      <c r="J2" s="233">
        <v>4288.0</v>
      </c>
      <c r="K2" s="233">
        <f>Sum(K3,K5,K4)</f>
        <v>9169</v>
      </c>
      <c r="L2" s="233">
        <f>Sum(L3:L5)</f>
        <v>4281</v>
      </c>
      <c r="M2" s="233">
        <f>Sum(M3:M6)</f>
        <v>4281</v>
      </c>
      <c r="N2" s="233">
        <f>Sum(N3:N7)</f>
        <v>4322</v>
      </c>
    </row>
    <row r="3" ht="15.75" customHeight="1">
      <c r="A3" s="232" t="s">
        <v>356</v>
      </c>
      <c r="B3" s="233"/>
      <c r="C3" s="233"/>
      <c r="D3" s="233"/>
      <c r="E3" s="233"/>
      <c r="F3" s="233"/>
      <c r="G3" s="233"/>
      <c r="H3" s="233"/>
      <c r="I3" s="233"/>
      <c r="J3" s="233"/>
      <c r="K3" s="233">
        <v>2678.0</v>
      </c>
      <c r="L3" s="233">
        <v>2678.0</v>
      </c>
      <c r="M3" s="233">
        <v>2678.0</v>
      </c>
      <c r="N3" s="233">
        <v>2678.0</v>
      </c>
    </row>
    <row r="4" ht="15.75" customHeight="1">
      <c r="A4" s="232" t="s">
        <v>357</v>
      </c>
      <c r="B4" s="233"/>
      <c r="C4" s="233"/>
      <c r="D4" s="233"/>
      <c r="E4" s="233"/>
      <c r="F4" s="233"/>
      <c r="G4" s="233"/>
      <c r="H4" s="233"/>
      <c r="I4" s="233"/>
      <c r="J4" s="233"/>
      <c r="K4" s="233">
        <v>1443.0</v>
      </c>
      <c r="L4" s="233">
        <v>1443.0</v>
      </c>
      <c r="M4" s="233">
        <v>1443.0</v>
      </c>
      <c r="N4" s="233">
        <v>1443.0</v>
      </c>
    </row>
    <row r="5" ht="15.75" customHeight="1">
      <c r="A5" s="232" t="s">
        <v>358</v>
      </c>
      <c r="B5" s="233"/>
      <c r="C5" s="233"/>
      <c r="D5" s="233"/>
      <c r="E5" s="233"/>
      <c r="F5" s="233"/>
      <c r="G5" s="233"/>
      <c r="H5" s="233"/>
      <c r="I5" s="233"/>
      <c r="J5" s="233"/>
      <c r="K5" s="233">
        <v>5048.0</v>
      </c>
      <c r="L5" s="233">
        <v>160.0</v>
      </c>
      <c r="M5" s="233">
        <v>160.0</v>
      </c>
      <c r="N5" s="233">
        <v>34.0</v>
      </c>
    </row>
    <row r="6" ht="15.75" customHeight="1">
      <c r="A6" s="232" t="s">
        <v>359</v>
      </c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  <c r="M6" s="233">
        <v>0.0</v>
      </c>
      <c r="N6" s="233">
        <v>0.0</v>
      </c>
    </row>
    <row r="7" ht="15.75" customHeight="1">
      <c r="A7" s="234" t="s">
        <v>360</v>
      </c>
      <c r="B7" s="233"/>
      <c r="C7" s="233"/>
      <c r="D7" s="233"/>
      <c r="E7" s="233"/>
      <c r="F7" s="233"/>
      <c r="G7" s="233"/>
      <c r="H7" s="233"/>
      <c r="I7" s="233"/>
      <c r="J7" s="233"/>
      <c r="K7" s="233"/>
      <c r="L7" s="233"/>
      <c r="M7" s="235"/>
      <c r="N7" s="233">
        <v>167.0</v>
      </c>
    </row>
    <row r="8" ht="15.75" customHeight="1">
      <c r="A8" s="233" t="s">
        <v>361</v>
      </c>
      <c r="B8" s="235">
        <v>377312.0</v>
      </c>
      <c r="C8" s="233">
        <v>630.0</v>
      </c>
      <c r="D8" s="233">
        <v>0.0</v>
      </c>
      <c r="E8" s="233">
        <v>1319.0</v>
      </c>
      <c r="F8" s="233">
        <v>945.0</v>
      </c>
      <c r="G8" s="233">
        <v>945.0</v>
      </c>
      <c r="H8" s="233">
        <v>945.0</v>
      </c>
      <c r="I8" s="233">
        <v>945.0</v>
      </c>
      <c r="J8" s="233">
        <v>945.0</v>
      </c>
      <c r="K8" s="233">
        <v>945.0</v>
      </c>
      <c r="L8" s="233">
        <v>945.0</v>
      </c>
      <c r="M8" s="233">
        <v>945.0</v>
      </c>
      <c r="N8" s="233">
        <v>0.0</v>
      </c>
    </row>
    <row r="9" ht="15.75" customHeight="1">
      <c r="A9" s="233" t="s">
        <v>362</v>
      </c>
      <c r="B9" s="235">
        <v>11100.0</v>
      </c>
      <c r="C9" s="233">
        <v>460.0</v>
      </c>
      <c r="D9" s="233">
        <v>460.0</v>
      </c>
      <c r="E9" s="233">
        <v>460.0</v>
      </c>
      <c r="F9" s="233">
        <v>460.0</v>
      </c>
      <c r="G9" s="233">
        <v>460.0</v>
      </c>
      <c r="H9" s="233">
        <v>460.0</v>
      </c>
      <c r="I9" s="233">
        <v>460.0</v>
      </c>
      <c r="J9" s="233">
        <v>460.0</v>
      </c>
      <c r="K9" s="233">
        <v>460.0</v>
      </c>
      <c r="L9" s="233">
        <v>460.0</v>
      </c>
      <c r="M9" s="233">
        <v>0.0</v>
      </c>
      <c r="N9" s="233">
        <v>0.0</v>
      </c>
      <c r="O9" s="131" t="s">
        <v>363</v>
      </c>
    </row>
    <row r="10" ht="15.75" customHeight="1">
      <c r="A10" s="233" t="s">
        <v>364</v>
      </c>
      <c r="B10" s="235" t="s">
        <v>223</v>
      </c>
      <c r="C10" s="233">
        <v>184.0</v>
      </c>
      <c r="D10" s="233">
        <v>184.0</v>
      </c>
      <c r="E10" s="233">
        <v>184.0</v>
      </c>
      <c r="F10" s="233">
        <v>69.0</v>
      </c>
      <c r="G10" s="233">
        <v>116.0</v>
      </c>
      <c r="H10" s="233">
        <v>116.0</v>
      </c>
      <c r="I10" s="233">
        <v>116.0</v>
      </c>
      <c r="J10" s="233">
        <v>116.0</v>
      </c>
      <c r="K10" s="233">
        <v>116.0</v>
      </c>
      <c r="L10" s="233">
        <v>116.0</v>
      </c>
      <c r="M10" s="233">
        <v>116.0</v>
      </c>
      <c r="N10" s="233">
        <v>116.0</v>
      </c>
    </row>
    <row r="11" ht="15.75" customHeight="1">
      <c r="A11" s="233" t="s">
        <v>365</v>
      </c>
      <c r="B11" s="235" t="s">
        <v>223</v>
      </c>
      <c r="C11" s="233">
        <v>396.0</v>
      </c>
      <c r="D11" s="233">
        <v>500.0</v>
      </c>
      <c r="E11" s="233">
        <v>500.0</v>
      </c>
      <c r="F11" s="233">
        <v>500.0</v>
      </c>
      <c r="G11" s="233">
        <v>500.0</v>
      </c>
      <c r="H11" s="233">
        <v>500.0</v>
      </c>
      <c r="I11" s="233">
        <v>500.0</v>
      </c>
      <c r="J11" s="233">
        <v>500.0</v>
      </c>
      <c r="K11" s="233">
        <v>507.0</v>
      </c>
      <c r="L11" s="233">
        <v>502.0</v>
      </c>
      <c r="M11" s="233">
        <v>500.0</v>
      </c>
      <c r="N11" s="233">
        <v>500.0</v>
      </c>
    </row>
    <row r="12" ht="15.75" customHeight="1">
      <c r="A12" s="233" t="s">
        <v>366</v>
      </c>
      <c r="B12" s="235">
        <v>0.0</v>
      </c>
      <c r="C12" s="233">
        <v>1425.0</v>
      </c>
      <c r="D12" s="233">
        <v>750.0</v>
      </c>
      <c r="E12" s="233">
        <v>1000.0</v>
      </c>
      <c r="F12" s="233">
        <v>1500.0</v>
      </c>
      <c r="G12" s="233">
        <v>885.0</v>
      </c>
      <c r="H12" s="233">
        <v>2500.0</v>
      </c>
      <c r="I12" s="233">
        <v>1250.0</v>
      </c>
      <c r="J12" s="233">
        <v>1000.0</v>
      </c>
      <c r="K12" s="233">
        <v>1000.0</v>
      </c>
      <c r="L12" s="233">
        <v>1200.0</v>
      </c>
      <c r="M12" s="233">
        <v>1600.0</v>
      </c>
      <c r="N12" s="233">
        <v>1200.0</v>
      </c>
    </row>
    <row r="13" ht="15.75" customHeight="1">
      <c r="A13" s="233" t="s">
        <v>367</v>
      </c>
      <c r="B13" s="235" t="s">
        <v>223</v>
      </c>
      <c r="C13" s="233">
        <v>500.0</v>
      </c>
      <c r="D13" s="233">
        <v>250.0</v>
      </c>
      <c r="E13" s="233">
        <v>250.0</v>
      </c>
      <c r="F13" s="233">
        <v>250.0</v>
      </c>
      <c r="G13" s="233">
        <v>500.0</v>
      </c>
      <c r="H13" s="233">
        <v>250.0</v>
      </c>
      <c r="I13" s="233">
        <v>250.0</v>
      </c>
      <c r="J13" s="233">
        <v>500.0</v>
      </c>
      <c r="K13" s="233">
        <v>250.0</v>
      </c>
      <c r="L13" s="233">
        <v>500.0</v>
      </c>
      <c r="M13" s="233">
        <v>250.0</v>
      </c>
      <c r="N13" s="233">
        <v>250.0</v>
      </c>
    </row>
    <row r="14" ht="15.75" customHeight="1">
      <c r="A14" s="233" t="s">
        <v>228</v>
      </c>
      <c r="B14" s="235" t="s">
        <v>223</v>
      </c>
      <c r="C14" s="233">
        <v>219.0</v>
      </c>
      <c r="D14" s="233">
        <v>225.0</v>
      </c>
      <c r="E14" s="233">
        <v>129.0</v>
      </c>
      <c r="F14" s="233">
        <v>77.0</v>
      </c>
      <c r="G14" s="233">
        <v>230.0</v>
      </c>
      <c r="H14" s="233">
        <v>161.0</v>
      </c>
      <c r="I14" s="233">
        <v>186.0</v>
      </c>
      <c r="J14" s="233">
        <v>198.0</v>
      </c>
      <c r="K14" s="233">
        <v>179.0</v>
      </c>
      <c r="L14" s="233">
        <v>203.0</v>
      </c>
      <c r="M14" s="233">
        <v>165.0</v>
      </c>
      <c r="N14" s="233">
        <v>188.0</v>
      </c>
    </row>
    <row r="15" ht="15.75" customHeight="1">
      <c r="A15" s="233" t="s">
        <v>368</v>
      </c>
      <c r="B15" s="235" t="s">
        <v>223</v>
      </c>
      <c r="C15" s="233">
        <v>228.0</v>
      </c>
      <c r="D15" s="233">
        <v>228.0</v>
      </c>
      <c r="E15" s="233">
        <v>228.0</v>
      </c>
      <c r="F15" s="233">
        <v>228.0</v>
      </c>
      <c r="G15" s="233">
        <v>228.0</v>
      </c>
      <c r="H15" s="233">
        <v>228.0</v>
      </c>
      <c r="I15" s="233">
        <v>228.0</v>
      </c>
      <c r="J15" s="233">
        <v>228.0</v>
      </c>
      <c r="K15" s="233">
        <v>228.0</v>
      </c>
      <c r="L15" s="233">
        <v>228.0</v>
      </c>
      <c r="M15" s="233">
        <v>228.0</v>
      </c>
      <c r="N15" s="233">
        <v>228.0</v>
      </c>
      <c r="P15" s="132">
        <f>sum(C15:N15)</f>
        <v>2736</v>
      </c>
    </row>
    <row r="16" ht="16.5" customHeight="1">
      <c r="A16" s="233" t="s">
        <v>369</v>
      </c>
      <c r="B16" s="235">
        <v>0.0</v>
      </c>
      <c r="C16" s="233">
        <v>156.0</v>
      </c>
      <c r="D16" s="233">
        <v>15.0</v>
      </c>
      <c r="E16" s="233">
        <v>122.0</v>
      </c>
      <c r="F16" s="233">
        <v>0.0</v>
      </c>
      <c r="G16" s="233">
        <v>138.0</v>
      </c>
      <c r="H16" s="233">
        <v>137.0</v>
      </c>
      <c r="I16" s="233">
        <v>144.0</v>
      </c>
      <c r="J16" s="233">
        <v>0.0</v>
      </c>
      <c r="K16" s="233">
        <v>120.0</v>
      </c>
      <c r="L16" s="233">
        <v>106.0</v>
      </c>
      <c r="M16" s="233">
        <v>130.0</v>
      </c>
      <c r="N16" s="233">
        <v>117.0</v>
      </c>
      <c r="V16" s="37"/>
    </row>
    <row r="17" ht="15.75" customHeight="1">
      <c r="A17" s="233" t="s">
        <v>370</v>
      </c>
      <c r="B17" s="235">
        <v>14050.0</v>
      </c>
      <c r="C17" s="233">
        <v>0.0</v>
      </c>
      <c r="D17" s="233">
        <v>0.0</v>
      </c>
      <c r="E17" s="233">
        <v>0.0</v>
      </c>
      <c r="F17" s="233">
        <v>0.0</v>
      </c>
      <c r="G17" s="233">
        <v>0.0</v>
      </c>
      <c r="H17" s="233">
        <v>173.0</v>
      </c>
      <c r="I17" s="233">
        <v>152.0</v>
      </c>
      <c r="J17" s="233">
        <v>152.0</v>
      </c>
      <c r="K17" s="233">
        <v>152.0</v>
      </c>
      <c r="L17" s="233">
        <v>152.0</v>
      </c>
      <c r="M17" s="233">
        <v>152.0</v>
      </c>
      <c r="N17" s="233">
        <v>152.0</v>
      </c>
      <c r="O17" s="37"/>
      <c r="P17" s="37"/>
      <c r="Q17" s="37"/>
      <c r="S17" s="37"/>
      <c r="T17" s="37"/>
      <c r="U17" s="37"/>
      <c r="V17" s="37"/>
      <c r="W17" s="37"/>
      <c r="X17" s="37"/>
      <c r="Y17" s="37"/>
      <c r="Z17" s="37"/>
    </row>
    <row r="18" ht="15.75" customHeight="1">
      <c r="A18" s="233" t="s">
        <v>230</v>
      </c>
      <c r="B18" s="235"/>
      <c r="C18" s="233">
        <v>51.0</v>
      </c>
      <c r="D18" s="233">
        <v>270.0</v>
      </c>
      <c r="E18" s="233">
        <v>507.0</v>
      </c>
      <c r="F18" s="233">
        <v>0.0</v>
      </c>
      <c r="G18" s="233">
        <v>32.0</v>
      </c>
      <c r="H18" s="233">
        <v>169.0</v>
      </c>
      <c r="I18" s="233">
        <v>11.0</v>
      </c>
      <c r="J18" s="233">
        <v>267.0</v>
      </c>
      <c r="K18" s="233">
        <v>531.0</v>
      </c>
      <c r="L18" s="233">
        <v>0.0</v>
      </c>
      <c r="M18" s="233">
        <v>17.0</v>
      </c>
      <c r="N18" s="233">
        <v>1362.0</v>
      </c>
      <c r="O18" s="131" t="s">
        <v>371</v>
      </c>
    </row>
    <row r="19" ht="15.75" customHeight="1">
      <c r="A19" s="233" t="s">
        <v>372</v>
      </c>
      <c r="B19" s="235">
        <v>0.0</v>
      </c>
      <c r="C19" s="233">
        <v>0.0</v>
      </c>
      <c r="D19" s="233">
        <v>0.0</v>
      </c>
      <c r="E19" s="233">
        <v>0.0</v>
      </c>
      <c r="F19" s="233">
        <v>2000.0</v>
      </c>
      <c r="G19" s="233">
        <v>0.0</v>
      </c>
      <c r="H19" s="233">
        <v>0.0</v>
      </c>
      <c r="I19" s="233">
        <v>0.0</v>
      </c>
      <c r="J19" s="233">
        <v>0.0</v>
      </c>
      <c r="K19" s="233">
        <v>0.0</v>
      </c>
      <c r="L19" s="233">
        <v>0.0</v>
      </c>
      <c r="M19" s="233">
        <v>0.0</v>
      </c>
      <c r="N19" s="233">
        <v>100.0</v>
      </c>
    </row>
    <row r="20" ht="15.75" customHeight="1">
      <c r="A20" s="233" t="s">
        <v>33</v>
      </c>
      <c r="B20" s="235" t="str">
        <f>Sum(B8,B9,#REF!,B29,B30)</f>
        <v>#REF!</v>
      </c>
      <c r="C20" s="233">
        <f t="shared" ref="C20:N20" si="1">Sum(C8:C19)</f>
        <v>4249</v>
      </c>
      <c r="D20" s="233">
        <f t="shared" si="1"/>
        <v>2882</v>
      </c>
      <c r="E20" s="233">
        <f t="shared" si="1"/>
        <v>4699</v>
      </c>
      <c r="F20" s="233">
        <f t="shared" si="1"/>
        <v>6029</v>
      </c>
      <c r="G20" s="233">
        <f t="shared" si="1"/>
        <v>4034</v>
      </c>
      <c r="H20" s="233">
        <f t="shared" si="1"/>
        <v>5639</v>
      </c>
      <c r="I20" s="233">
        <f t="shared" si="1"/>
        <v>4242</v>
      </c>
      <c r="J20" s="233">
        <f t="shared" si="1"/>
        <v>4366</v>
      </c>
      <c r="K20" s="233">
        <f t="shared" si="1"/>
        <v>4488</v>
      </c>
      <c r="L20" s="233">
        <f t="shared" si="1"/>
        <v>4412</v>
      </c>
      <c r="M20" s="233">
        <f t="shared" si="1"/>
        <v>4103</v>
      </c>
      <c r="N20" s="233">
        <f t="shared" si="1"/>
        <v>4213</v>
      </c>
    </row>
    <row r="21" ht="15.75" customHeight="1">
      <c r="A21" s="236" t="s">
        <v>373</v>
      </c>
      <c r="B21" s="231" t="s">
        <v>71</v>
      </c>
      <c r="C21" s="231" t="s">
        <v>374</v>
      </c>
      <c r="D21" s="231" t="s">
        <v>375</v>
      </c>
      <c r="E21" s="231" t="s">
        <v>376</v>
      </c>
      <c r="F21" s="231" t="s">
        <v>377</v>
      </c>
      <c r="G21" s="231" t="s">
        <v>378</v>
      </c>
      <c r="H21" s="231" t="s">
        <v>379</v>
      </c>
      <c r="I21" s="231" t="s">
        <v>380</v>
      </c>
      <c r="J21" s="231" t="s">
        <v>381</v>
      </c>
      <c r="K21" s="231" t="s">
        <v>382</v>
      </c>
      <c r="L21" s="231" t="s">
        <v>383</v>
      </c>
      <c r="M21" s="231" t="s">
        <v>384</v>
      </c>
      <c r="N21" s="231" t="s">
        <v>385</v>
      </c>
      <c r="O21" s="237" t="s">
        <v>386</v>
      </c>
    </row>
    <row r="22" ht="15.75" customHeight="1">
      <c r="A22" s="238" t="s">
        <v>387</v>
      </c>
      <c r="B22" s="239"/>
      <c r="C22" s="239">
        <v>4016.0</v>
      </c>
      <c r="D22" s="239">
        <v>4101.0</v>
      </c>
      <c r="E22" s="239">
        <v>4661.0</v>
      </c>
      <c r="F22" s="239">
        <v>4920.0</v>
      </c>
      <c r="G22" s="239">
        <v>4096.0</v>
      </c>
      <c r="H22" s="239">
        <v>4096.0</v>
      </c>
      <c r="I22" s="239">
        <v>8192.0</v>
      </c>
      <c r="J22" s="239">
        <f t="shared" ref="J22:K22" si="2">Sum(J23,J25,J24)</f>
        <v>6589</v>
      </c>
      <c r="K22" s="239">
        <f t="shared" si="2"/>
        <v>4121</v>
      </c>
      <c r="L22" s="239">
        <v>4724.0</v>
      </c>
      <c r="M22" s="239">
        <f>Sum(M23,M25,M24,M26,M27)</f>
        <v>4564</v>
      </c>
      <c r="N22" s="239">
        <f>Sum(N23,N25,N24,N26)</f>
        <v>4994</v>
      </c>
      <c r="O22" s="239">
        <f>Sum(O23:O27)</f>
        <v>5531</v>
      </c>
    </row>
    <row r="23" ht="15.75" customHeight="1">
      <c r="A23" s="238" t="s">
        <v>356</v>
      </c>
      <c r="B23" s="239"/>
      <c r="C23" s="239"/>
      <c r="D23" s="239"/>
      <c r="E23" s="239"/>
      <c r="F23" s="239"/>
      <c r="G23" s="239"/>
      <c r="H23" s="239"/>
      <c r="I23" s="239"/>
      <c r="J23" s="239">
        <v>2678.0</v>
      </c>
      <c r="K23" s="239">
        <v>2678.0</v>
      </c>
      <c r="L23" s="239">
        <v>2678.0</v>
      </c>
      <c r="M23" s="239">
        <v>2678.0</v>
      </c>
      <c r="N23" s="239">
        <v>2678.0</v>
      </c>
      <c r="O23" s="240">
        <v>2678.0</v>
      </c>
    </row>
    <row r="24" ht="15.75" customHeight="1">
      <c r="A24" s="238" t="s">
        <v>357</v>
      </c>
      <c r="B24" s="239"/>
      <c r="C24" s="239"/>
      <c r="D24" s="239"/>
      <c r="E24" s="239"/>
      <c r="F24" s="239"/>
      <c r="G24" s="239"/>
      <c r="H24" s="239"/>
      <c r="I24" s="239"/>
      <c r="J24" s="239">
        <v>1443.0</v>
      </c>
      <c r="K24" s="239">
        <v>1443.0</v>
      </c>
      <c r="L24" s="239">
        <v>1443.0</v>
      </c>
      <c r="M24" s="239">
        <v>1443.0</v>
      </c>
      <c r="N24" s="239">
        <v>1478.0</v>
      </c>
      <c r="O24" s="240">
        <v>1396.0</v>
      </c>
    </row>
    <row r="25" ht="15.75" customHeight="1">
      <c r="A25" s="238" t="s">
        <v>358</v>
      </c>
      <c r="B25" s="239"/>
      <c r="C25" s="239"/>
      <c r="D25" s="239"/>
      <c r="E25" s="239"/>
      <c r="F25" s="239"/>
      <c r="G25" s="239"/>
      <c r="H25" s="239"/>
      <c r="I25" s="239"/>
      <c r="J25" s="239">
        <v>2468.0</v>
      </c>
      <c r="K25" s="239">
        <v>0.0</v>
      </c>
      <c r="L25" s="239">
        <v>160.0</v>
      </c>
      <c r="M25" s="239">
        <v>160.0</v>
      </c>
      <c r="N25" s="239">
        <v>188.0</v>
      </c>
      <c r="O25" s="240">
        <v>160.0</v>
      </c>
    </row>
    <row r="26" ht="15.75" customHeight="1">
      <c r="A26" s="238" t="s">
        <v>359</v>
      </c>
      <c r="B26" s="239"/>
      <c r="C26" s="239"/>
      <c r="D26" s="239"/>
      <c r="E26" s="239"/>
      <c r="F26" s="239"/>
      <c r="G26" s="239"/>
      <c r="H26" s="239"/>
      <c r="I26" s="239"/>
      <c r="J26" s="239"/>
      <c r="K26" s="239"/>
      <c r="L26" s="239"/>
      <c r="M26" s="239">
        <v>0.0</v>
      </c>
      <c r="N26" s="239">
        <v>650.0</v>
      </c>
      <c r="O26" s="240">
        <v>675.0</v>
      </c>
    </row>
    <row r="27" ht="15.75" customHeight="1">
      <c r="A27" s="238" t="s">
        <v>360</v>
      </c>
      <c r="B27" s="239"/>
      <c r="C27" s="239"/>
      <c r="D27" s="239"/>
      <c r="E27" s="239"/>
      <c r="F27" s="239"/>
      <c r="G27" s="239"/>
      <c r="H27" s="239"/>
      <c r="I27" s="239"/>
      <c r="J27" s="239"/>
      <c r="K27" s="239"/>
      <c r="L27" s="239">
        <v>442.0</v>
      </c>
      <c r="M27" s="239">
        <v>283.0</v>
      </c>
      <c r="N27" s="239">
        <v>147.0</v>
      </c>
      <c r="O27" s="240">
        <v>622.0</v>
      </c>
    </row>
    <row r="28" ht="15.75" customHeight="1">
      <c r="A28" s="239" t="s">
        <v>361</v>
      </c>
      <c r="B28" s="241">
        <v>377312.0</v>
      </c>
      <c r="C28" s="239">
        <v>630.0</v>
      </c>
      <c r="D28" s="239">
        <v>0.0</v>
      </c>
      <c r="E28" s="239">
        <v>0.0</v>
      </c>
      <c r="F28" s="239">
        <v>945.0</v>
      </c>
      <c r="G28" s="239">
        <v>945.0</v>
      </c>
      <c r="H28" s="239">
        <v>945.0</v>
      </c>
      <c r="I28" s="239">
        <v>945.0</v>
      </c>
      <c r="J28" s="239">
        <v>945.0</v>
      </c>
      <c r="K28" s="239">
        <v>945.0</v>
      </c>
      <c r="L28" s="239">
        <v>945.0</v>
      </c>
      <c r="M28" s="239">
        <v>0.0</v>
      </c>
      <c r="N28" s="239">
        <v>800.0</v>
      </c>
      <c r="O28" s="240">
        <v>800.0</v>
      </c>
      <c r="P28" s="130" t="s">
        <v>388</v>
      </c>
    </row>
    <row r="29" ht="15.75" customHeight="1">
      <c r="A29" s="239" t="s">
        <v>389</v>
      </c>
      <c r="B29" s="241">
        <v>0.0</v>
      </c>
      <c r="C29" s="239">
        <v>201.0</v>
      </c>
      <c r="D29" s="239">
        <v>201.0</v>
      </c>
      <c r="E29" s="239">
        <v>201.0</v>
      </c>
      <c r="F29" s="239">
        <v>201.0</v>
      </c>
      <c r="G29" s="239">
        <v>201.0</v>
      </c>
      <c r="H29" s="239">
        <v>201.0</v>
      </c>
      <c r="I29" s="239">
        <v>201.0</v>
      </c>
      <c r="J29" s="239">
        <v>201.0</v>
      </c>
      <c r="K29" s="239">
        <v>201.0</v>
      </c>
      <c r="L29" s="239">
        <v>0.0</v>
      </c>
      <c r="M29" s="239">
        <v>0.0</v>
      </c>
      <c r="N29" s="239">
        <v>0.0</v>
      </c>
      <c r="O29" s="240">
        <v>0.0</v>
      </c>
    </row>
    <row r="30" ht="15.75" customHeight="1">
      <c r="A30" s="239" t="s">
        <v>390</v>
      </c>
      <c r="B30" s="241">
        <v>0.0</v>
      </c>
      <c r="C30" s="239">
        <v>0.0</v>
      </c>
      <c r="D30" s="239">
        <v>0.0</v>
      </c>
      <c r="E30" s="239">
        <v>0.0</v>
      </c>
      <c r="F30" s="239">
        <v>0.0</v>
      </c>
      <c r="G30" s="239">
        <v>0.0</v>
      </c>
      <c r="H30" s="239">
        <v>0.0</v>
      </c>
      <c r="I30" s="239">
        <v>0.0</v>
      </c>
      <c r="J30" s="239">
        <v>0.0</v>
      </c>
      <c r="K30" s="239">
        <v>0.0</v>
      </c>
      <c r="L30" s="239">
        <v>0.0</v>
      </c>
      <c r="M30" s="239">
        <v>0.0</v>
      </c>
      <c r="N30" s="239">
        <v>0.0</v>
      </c>
      <c r="O30" s="240">
        <v>0.0</v>
      </c>
    </row>
    <row r="31" ht="15.75" customHeight="1">
      <c r="A31" s="239" t="s">
        <v>391</v>
      </c>
      <c r="B31" s="241" t="s">
        <v>223</v>
      </c>
      <c r="C31" s="242">
        <v>604.0</v>
      </c>
      <c r="D31" s="242">
        <v>500.0</v>
      </c>
      <c r="E31" s="242">
        <v>500.0</v>
      </c>
      <c r="F31" s="242">
        <v>500.0</v>
      </c>
      <c r="G31" s="242">
        <v>500.0</v>
      </c>
      <c r="H31" s="242">
        <v>500.0</v>
      </c>
      <c r="I31" s="242">
        <v>500.0</v>
      </c>
      <c r="J31" s="242">
        <v>500.0</v>
      </c>
      <c r="K31" s="242">
        <v>500.0</v>
      </c>
      <c r="L31" s="242">
        <v>500.0</v>
      </c>
      <c r="M31" s="242">
        <v>570.0</v>
      </c>
      <c r="N31" s="242">
        <v>570.0</v>
      </c>
      <c r="O31" s="240">
        <v>0.0</v>
      </c>
    </row>
    <row r="32" ht="15.75" customHeight="1">
      <c r="A32" s="239" t="s">
        <v>392</v>
      </c>
      <c r="B32" s="241" t="s">
        <v>223</v>
      </c>
      <c r="C32" s="239">
        <v>200.0</v>
      </c>
      <c r="D32" s="239">
        <v>200.0</v>
      </c>
      <c r="E32" s="239">
        <v>200.0</v>
      </c>
      <c r="F32" s="239">
        <v>200.0</v>
      </c>
      <c r="G32" s="239">
        <v>200.0</v>
      </c>
      <c r="H32" s="239">
        <v>200.0</v>
      </c>
      <c r="I32" s="239">
        <v>200.0</v>
      </c>
      <c r="J32" s="239">
        <v>200.0</v>
      </c>
      <c r="K32" s="239">
        <v>200.0</v>
      </c>
      <c r="L32" s="239">
        <v>200.0</v>
      </c>
      <c r="M32" s="239">
        <v>200.0</v>
      </c>
      <c r="N32" s="239">
        <v>200.0</v>
      </c>
      <c r="O32" s="240">
        <v>0.0</v>
      </c>
    </row>
    <row r="33" ht="15.75" customHeight="1">
      <c r="A33" s="239" t="s">
        <v>393</v>
      </c>
      <c r="B33" s="241">
        <v>0.0</v>
      </c>
      <c r="C33" s="239">
        <v>1250.0</v>
      </c>
      <c r="D33" s="239">
        <v>1025.0</v>
      </c>
      <c r="E33" s="239">
        <v>1500.0</v>
      </c>
      <c r="F33" s="239">
        <v>1250.0</v>
      </c>
      <c r="G33" s="239">
        <v>1300.0</v>
      </c>
      <c r="H33" s="239">
        <v>1500.0</v>
      </c>
      <c r="I33" s="239">
        <v>1700.0</v>
      </c>
      <c r="J33" s="239">
        <v>1100.0</v>
      </c>
      <c r="K33" s="239">
        <v>1100.0</v>
      </c>
      <c r="L33" s="239">
        <v>1500.0</v>
      </c>
      <c r="M33" s="239">
        <v>800.0</v>
      </c>
      <c r="N33" s="239">
        <v>2750.0</v>
      </c>
      <c r="O33" s="240">
        <v>3750.0</v>
      </c>
      <c r="P33" s="131" t="s">
        <v>394</v>
      </c>
    </row>
    <row r="34" ht="15.75" customHeight="1">
      <c r="A34" s="239" t="s">
        <v>395</v>
      </c>
      <c r="B34" s="241" t="s">
        <v>223</v>
      </c>
      <c r="C34" s="239">
        <v>500.0</v>
      </c>
      <c r="D34" s="239">
        <v>300.0</v>
      </c>
      <c r="E34" s="239">
        <v>500.0</v>
      </c>
      <c r="F34" s="239">
        <v>250.0</v>
      </c>
      <c r="G34" s="239">
        <v>250.0</v>
      </c>
      <c r="H34" s="239">
        <v>250.0</v>
      </c>
      <c r="I34" s="239">
        <v>250.0</v>
      </c>
      <c r="J34" s="239">
        <v>250.0</v>
      </c>
      <c r="K34" s="239">
        <v>500.0</v>
      </c>
      <c r="L34" s="239">
        <v>750.0</v>
      </c>
      <c r="M34" s="239">
        <v>250.0</v>
      </c>
      <c r="N34" s="239">
        <v>250.0</v>
      </c>
      <c r="O34" s="240">
        <v>0.0</v>
      </c>
    </row>
    <row r="35" ht="15.75" customHeight="1">
      <c r="A35" s="239" t="s">
        <v>372</v>
      </c>
      <c r="B35" s="241">
        <v>0.0</v>
      </c>
      <c r="C35" s="239">
        <v>0.0</v>
      </c>
      <c r="D35" s="239">
        <v>0.0</v>
      </c>
      <c r="E35" s="239">
        <v>1000.0</v>
      </c>
      <c r="F35" s="239">
        <v>1001.0</v>
      </c>
      <c r="G35" s="239">
        <v>0.0</v>
      </c>
      <c r="H35" s="239">
        <v>0.0</v>
      </c>
      <c r="I35" s="239">
        <v>0.0</v>
      </c>
      <c r="J35" s="239">
        <v>0.0</v>
      </c>
      <c r="K35" s="239">
        <v>0.0</v>
      </c>
      <c r="L35" s="239">
        <v>0.0</v>
      </c>
      <c r="M35" s="239">
        <v>500.0</v>
      </c>
      <c r="N35" s="239">
        <v>0.0</v>
      </c>
      <c r="O35" s="240">
        <v>0.0</v>
      </c>
    </row>
    <row r="36" ht="15.75" customHeight="1">
      <c r="A36" s="239" t="s">
        <v>396</v>
      </c>
      <c r="B36" s="241" t="s">
        <v>223</v>
      </c>
      <c r="C36" s="239">
        <v>1661.0</v>
      </c>
      <c r="D36" s="239">
        <v>0.0</v>
      </c>
      <c r="E36" s="239">
        <v>0.0</v>
      </c>
      <c r="F36" s="239">
        <v>0.0</v>
      </c>
      <c r="G36" s="239">
        <v>0.0</v>
      </c>
      <c r="H36" s="239">
        <v>0.0</v>
      </c>
      <c r="I36" s="239">
        <v>772.0</v>
      </c>
      <c r="J36" s="239">
        <v>0.0</v>
      </c>
      <c r="K36" s="239">
        <v>1625.0</v>
      </c>
      <c r="L36" s="239">
        <v>0.0</v>
      </c>
      <c r="M36" s="239">
        <v>132.0</v>
      </c>
      <c r="N36" s="239">
        <v>0.0</v>
      </c>
      <c r="O36" s="240">
        <v>0.0</v>
      </c>
      <c r="P36" s="132">
        <f>sum(C36:M36)</f>
        <v>4190</v>
      </c>
    </row>
    <row r="37" ht="15.75" customHeight="1">
      <c r="A37" s="239" t="s">
        <v>244</v>
      </c>
      <c r="B37" s="241">
        <f>B16</f>
        <v>0</v>
      </c>
      <c r="C37" s="239">
        <v>231.0</v>
      </c>
      <c r="D37" s="239">
        <v>200.0</v>
      </c>
      <c r="E37" s="239">
        <v>96.0</v>
      </c>
      <c r="F37" s="239">
        <v>106.0</v>
      </c>
      <c r="G37" s="239">
        <v>0.0</v>
      </c>
      <c r="H37" s="239">
        <v>40.0</v>
      </c>
      <c r="I37" s="239">
        <v>100.0</v>
      </c>
      <c r="J37" s="239">
        <v>113.0</v>
      </c>
      <c r="K37" s="239">
        <v>0.0</v>
      </c>
      <c r="L37" s="241">
        <v>0.0</v>
      </c>
      <c r="M37" s="239">
        <v>114.0</v>
      </c>
      <c r="N37" s="239">
        <v>0.0</v>
      </c>
      <c r="O37" s="240">
        <v>0.0</v>
      </c>
    </row>
    <row r="38" ht="15.75" customHeight="1">
      <c r="A38" s="239" t="s">
        <v>230</v>
      </c>
      <c r="B38" s="241"/>
      <c r="C38" s="239">
        <v>93.0</v>
      </c>
      <c r="D38" s="239">
        <v>310.0</v>
      </c>
      <c r="E38" s="239">
        <v>91.0</v>
      </c>
      <c r="F38" s="239">
        <v>52.0</v>
      </c>
      <c r="G38" s="239">
        <v>182.0</v>
      </c>
      <c r="H38" s="239">
        <v>0.0</v>
      </c>
      <c r="I38" s="239">
        <v>0.0</v>
      </c>
      <c r="J38" s="239">
        <v>0.0</v>
      </c>
      <c r="K38" s="239">
        <v>72.0</v>
      </c>
      <c r="L38" s="241">
        <v>0.0</v>
      </c>
      <c r="M38" s="239">
        <v>1989.0</v>
      </c>
      <c r="N38" s="239">
        <v>0.0</v>
      </c>
      <c r="O38" s="240">
        <v>487.0</v>
      </c>
    </row>
    <row r="39" ht="15.75" customHeight="1">
      <c r="A39" s="239" t="s">
        <v>33</v>
      </c>
      <c r="B39" s="241" t="str">
        <f>Sum(B8,B9,#REF!,B29,B30)</f>
        <v>#REF!</v>
      </c>
      <c r="C39" s="239">
        <f t="shared" ref="C39:O39" si="3">Sum(C28:C38)</f>
        <v>5370</v>
      </c>
      <c r="D39" s="239">
        <f t="shared" si="3"/>
        <v>2736</v>
      </c>
      <c r="E39" s="239">
        <f t="shared" si="3"/>
        <v>4088</v>
      </c>
      <c r="F39" s="239">
        <f t="shared" si="3"/>
        <v>4505</v>
      </c>
      <c r="G39" s="239">
        <f t="shared" si="3"/>
        <v>3578</v>
      </c>
      <c r="H39" s="239">
        <f t="shared" si="3"/>
        <v>3636</v>
      </c>
      <c r="I39" s="239">
        <f t="shared" si="3"/>
        <v>4668</v>
      </c>
      <c r="J39" s="239">
        <f t="shared" si="3"/>
        <v>3309</v>
      </c>
      <c r="K39" s="239">
        <f t="shared" si="3"/>
        <v>5143</v>
      </c>
      <c r="L39" s="239">
        <f t="shared" si="3"/>
        <v>3895</v>
      </c>
      <c r="M39" s="239">
        <f t="shared" si="3"/>
        <v>4555</v>
      </c>
      <c r="N39" s="239">
        <f t="shared" si="3"/>
        <v>4570</v>
      </c>
      <c r="O39" s="239">
        <f t="shared" si="3"/>
        <v>5037</v>
      </c>
    </row>
    <row r="40" ht="15.75" customHeight="1">
      <c r="A40" s="231" t="s">
        <v>118</v>
      </c>
      <c r="B40" s="231"/>
      <c r="C40" s="243">
        <f t="shared" ref="C40:N40" si="4">C20+C39</f>
        <v>9619</v>
      </c>
      <c r="D40" s="243">
        <f t="shared" si="4"/>
        <v>5618</v>
      </c>
      <c r="E40" s="243">
        <f t="shared" si="4"/>
        <v>8787</v>
      </c>
      <c r="F40" s="231">
        <f t="shared" si="4"/>
        <v>10534</v>
      </c>
      <c r="G40" s="243">
        <f t="shared" si="4"/>
        <v>7612</v>
      </c>
      <c r="H40" s="243">
        <f t="shared" si="4"/>
        <v>9275</v>
      </c>
      <c r="I40" s="231">
        <f t="shared" si="4"/>
        <v>8910</v>
      </c>
      <c r="J40" s="231">
        <f t="shared" si="4"/>
        <v>7675</v>
      </c>
      <c r="K40" s="231">
        <f t="shared" si="4"/>
        <v>9631</v>
      </c>
      <c r="L40" s="231">
        <f t="shared" si="4"/>
        <v>8307</v>
      </c>
      <c r="M40" s="231">
        <f t="shared" si="4"/>
        <v>8658</v>
      </c>
      <c r="N40" s="231">
        <f t="shared" si="4"/>
        <v>8783</v>
      </c>
    </row>
    <row r="41" ht="15.75" customHeight="1"/>
    <row r="42" ht="15.75" customHeight="1">
      <c r="A42" s="244" t="s">
        <v>397</v>
      </c>
      <c r="B42" s="244" t="s">
        <v>35</v>
      </c>
      <c r="C42" s="244" t="s">
        <v>0</v>
      </c>
      <c r="D42" s="244" t="s">
        <v>1</v>
      </c>
      <c r="E42" s="244" t="s">
        <v>2</v>
      </c>
      <c r="F42" s="244" t="s">
        <v>3</v>
      </c>
      <c r="G42" s="244" t="s">
        <v>4</v>
      </c>
      <c r="H42" s="244" t="s">
        <v>5</v>
      </c>
      <c r="I42" s="244" t="s">
        <v>6</v>
      </c>
      <c r="J42" s="244" t="s">
        <v>7</v>
      </c>
      <c r="K42" s="244" t="s">
        <v>8</v>
      </c>
      <c r="L42" s="244" t="s">
        <v>9</v>
      </c>
      <c r="M42" s="244" t="s">
        <v>10</v>
      </c>
      <c r="N42" s="244" t="s">
        <v>11</v>
      </c>
    </row>
    <row r="43" ht="15.75" customHeight="1">
      <c r="A43" s="244"/>
      <c r="B43" s="244"/>
      <c r="C43" s="244"/>
      <c r="D43" s="244"/>
      <c r="E43" s="244"/>
      <c r="F43" s="244"/>
      <c r="G43" s="244"/>
      <c r="H43" s="244"/>
      <c r="I43" s="244"/>
      <c r="J43" s="244"/>
      <c r="K43" s="244"/>
      <c r="L43" s="244"/>
      <c r="M43" s="244"/>
      <c r="N43" s="244"/>
    </row>
    <row r="44" ht="15.75" customHeight="1">
      <c r="A44" s="244" t="s">
        <v>286</v>
      </c>
      <c r="B44" s="244">
        <v>382500.0</v>
      </c>
      <c r="C44" s="244">
        <v>0.0</v>
      </c>
      <c r="D44" s="244">
        <v>0.0</v>
      </c>
      <c r="E44" s="244">
        <v>0.0</v>
      </c>
      <c r="F44" s="244">
        <v>381766.0</v>
      </c>
      <c r="G44" s="244">
        <v>0.0</v>
      </c>
      <c r="H44" s="244">
        <v>380290.0</v>
      </c>
      <c r="I44" s="244">
        <v>379549.0</v>
      </c>
      <c r="J44" s="244">
        <v>378806.0</v>
      </c>
      <c r="K44" s="244">
        <v>378060.0</v>
      </c>
      <c r="L44" s="244">
        <v>377312.0</v>
      </c>
      <c r="M44" s="244">
        <v>380000.0</v>
      </c>
      <c r="N44" s="244">
        <v>380000.0</v>
      </c>
    </row>
    <row r="45" ht="15.75" customHeight="1">
      <c r="A45" s="244" t="s">
        <v>398</v>
      </c>
      <c r="B45" s="244"/>
      <c r="C45" s="244"/>
      <c r="D45" s="244"/>
      <c r="E45" s="244"/>
      <c r="F45" s="244"/>
      <c r="G45" s="244"/>
      <c r="H45" s="244"/>
      <c r="I45" s="244"/>
      <c r="J45" s="244"/>
      <c r="K45" s="244"/>
      <c r="L45" s="245"/>
      <c r="M45" s="245"/>
      <c r="N45" s="245"/>
    </row>
    <row r="46" ht="15.75" customHeight="1">
      <c r="A46" s="244" t="s">
        <v>399</v>
      </c>
      <c r="B46" s="244">
        <v>14088.0</v>
      </c>
      <c r="C46" s="244">
        <v>0.0</v>
      </c>
      <c r="D46" s="244">
        <v>0.0</v>
      </c>
      <c r="E46" s="244">
        <v>14088.0</v>
      </c>
      <c r="F46" s="244">
        <v>13665.0</v>
      </c>
      <c r="G46" s="244">
        <v>13200.0</v>
      </c>
      <c r="H46" s="244">
        <v>12814.0</v>
      </c>
      <c r="I46" s="244">
        <v>12387.0</v>
      </c>
      <c r="J46" s="244">
        <v>11959.0</v>
      </c>
      <c r="K46" s="244">
        <v>11531.0</v>
      </c>
      <c r="L46" s="244">
        <v>8600.0</v>
      </c>
      <c r="M46" s="244">
        <v>0.0</v>
      </c>
      <c r="N46" s="244">
        <v>0.0</v>
      </c>
      <c r="O46" s="131">
        <v>10500.0</v>
      </c>
      <c r="P46" s="131" t="s">
        <v>400</v>
      </c>
    </row>
    <row r="47" ht="15.75" customHeight="1">
      <c r="A47" s="244" t="s">
        <v>401</v>
      </c>
      <c r="B47" s="244">
        <v>12076.0</v>
      </c>
      <c r="C47" s="244">
        <v>0.0</v>
      </c>
      <c r="D47" s="244">
        <v>0.0</v>
      </c>
      <c r="E47" s="244">
        <v>11834.0</v>
      </c>
      <c r="F47" s="244">
        <v>11876.0</v>
      </c>
      <c r="G47" s="244">
        <v>0.0</v>
      </c>
      <c r="H47" s="244"/>
      <c r="I47" s="244">
        <v>11384.0</v>
      </c>
      <c r="J47" s="244">
        <v>11248.0</v>
      </c>
      <c r="K47" s="244">
        <v>7506.0</v>
      </c>
      <c r="L47" s="244">
        <v>0.0</v>
      </c>
      <c r="M47" s="244">
        <v>0.0</v>
      </c>
      <c r="N47" s="244">
        <v>0.0</v>
      </c>
      <c r="O47" s="131">
        <v>12300.0</v>
      </c>
      <c r="P47" s="131" t="s">
        <v>402</v>
      </c>
    </row>
    <row r="48" ht="15.75" customHeight="1">
      <c r="A48" s="244" t="s">
        <v>403</v>
      </c>
      <c r="B48" s="244">
        <v>1252.0</v>
      </c>
      <c r="C48" s="244">
        <v>0.0</v>
      </c>
      <c r="D48" s="244">
        <v>0.0</v>
      </c>
      <c r="E48" s="244">
        <v>1227.0</v>
      </c>
      <c r="F48" s="244">
        <v>1231.0</v>
      </c>
      <c r="G48" s="244">
        <v>0.0</v>
      </c>
      <c r="H48" s="244">
        <v>1191.0</v>
      </c>
      <c r="I48" s="244">
        <v>1180.0</v>
      </c>
      <c r="J48" s="244">
        <v>1166.0</v>
      </c>
      <c r="K48" s="244">
        <v>778.0</v>
      </c>
      <c r="L48" s="244">
        <v>0.0</v>
      </c>
      <c r="M48" s="244">
        <v>0.0</v>
      </c>
      <c r="N48" s="244">
        <v>0.0</v>
      </c>
      <c r="O48" s="130" t="s">
        <v>404</v>
      </c>
      <c r="P48" s="131" t="s">
        <v>405</v>
      </c>
    </row>
    <row r="49" ht="15.75" customHeight="1">
      <c r="A49" s="244" t="s">
        <v>287</v>
      </c>
      <c r="B49" s="244">
        <v>0.0</v>
      </c>
      <c r="C49" s="244">
        <v>0.0</v>
      </c>
      <c r="D49" s="244">
        <v>0.0</v>
      </c>
      <c r="E49" s="244">
        <v>0.0</v>
      </c>
      <c r="F49" s="244">
        <v>0.0</v>
      </c>
      <c r="G49" s="244">
        <v>0.0</v>
      </c>
      <c r="H49" s="244">
        <v>0.0</v>
      </c>
      <c r="I49" s="244">
        <v>0.0</v>
      </c>
      <c r="J49" s="244">
        <v>0.0</v>
      </c>
      <c r="K49" s="244">
        <v>0.0</v>
      </c>
      <c r="L49" s="244">
        <v>0.0</v>
      </c>
      <c r="M49" s="244">
        <v>0.0</v>
      </c>
      <c r="N49" s="244">
        <v>0.0</v>
      </c>
      <c r="O49" s="131" t="s">
        <v>406</v>
      </c>
      <c r="P49" s="131" t="s">
        <v>407</v>
      </c>
    </row>
    <row r="50" ht="15.75" customHeight="1">
      <c r="A50" s="246" t="s">
        <v>289</v>
      </c>
      <c r="B50" s="244">
        <v>0.0</v>
      </c>
      <c r="C50" s="244">
        <v>0.0</v>
      </c>
      <c r="D50" s="244">
        <v>0.0</v>
      </c>
      <c r="E50" s="244">
        <v>0.0</v>
      </c>
      <c r="F50" s="244">
        <v>0.0</v>
      </c>
      <c r="G50" s="244">
        <v>0.0</v>
      </c>
      <c r="H50" s="244">
        <v>0.0</v>
      </c>
      <c r="I50" s="244">
        <v>0.0</v>
      </c>
      <c r="J50" s="244">
        <v>0.0</v>
      </c>
      <c r="K50" s="244">
        <v>0.0</v>
      </c>
      <c r="L50" s="244">
        <v>0.0</v>
      </c>
      <c r="M50" s="244">
        <v>0.0</v>
      </c>
      <c r="N50" s="244">
        <v>0.0</v>
      </c>
    </row>
    <row r="51" ht="15.75" customHeight="1">
      <c r="A51" s="244" t="s">
        <v>288</v>
      </c>
      <c r="B51" s="244">
        <v>9750.0</v>
      </c>
      <c r="C51" s="244">
        <v>9325.0</v>
      </c>
      <c r="D51" s="244">
        <v>9250.0</v>
      </c>
      <c r="E51" s="244">
        <v>3000.0</v>
      </c>
      <c r="F51" s="244">
        <v>0.0</v>
      </c>
      <c r="G51" s="244">
        <v>0.0</v>
      </c>
      <c r="H51" s="244">
        <v>0.0</v>
      </c>
      <c r="I51" s="244">
        <v>0.0</v>
      </c>
      <c r="J51" s="244">
        <v>0.0</v>
      </c>
      <c r="K51" s="244">
        <v>0.0</v>
      </c>
      <c r="L51" s="244">
        <v>0.0</v>
      </c>
      <c r="M51" s="244">
        <v>0.0</v>
      </c>
      <c r="N51" s="244">
        <v>0.0</v>
      </c>
    </row>
    <row r="52" ht="15.75" customHeight="1">
      <c r="A52" s="244" t="s">
        <v>408</v>
      </c>
      <c r="B52" s="244">
        <v>10349.0</v>
      </c>
      <c r="C52" s="244">
        <v>10400.0</v>
      </c>
      <c r="D52" s="244">
        <v>10200.0</v>
      </c>
      <c r="E52" s="244">
        <v>15299.0</v>
      </c>
      <c r="F52" s="244">
        <v>15000.0</v>
      </c>
      <c r="G52" s="244">
        <v>14750.0</v>
      </c>
      <c r="H52" s="244">
        <v>14500.0</v>
      </c>
      <c r="I52" s="244">
        <v>14350.0</v>
      </c>
      <c r="J52" s="244">
        <v>14152.0</v>
      </c>
      <c r="K52" s="244">
        <v>14050.0</v>
      </c>
      <c r="L52" s="244">
        <v>13900.0</v>
      </c>
      <c r="M52" s="244">
        <v>13750.0</v>
      </c>
      <c r="N52" s="244">
        <v>0.0</v>
      </c>
      <c r="O52" s="131" t="s">
        <v>409</v>
      </c>
      <c r="P52" s="131" t="s">
        <v>410</v>
      </c>
    </row>
    <row r="53" ht="15.75" customHeight="1">
      <c r="A53" s="244" t="s">
        <v>411</v>
      </c>
      <c r="B53" s="244">
        <v>12841.0</v>
      </c>
      <c r="C53" s="244">
        <v>150.0</v>
      </c>
      <c r="D53" s="244">
        <v>150.0</v>
      </c>
      <c r="E53" s="244">
        <v>150.0</v>
      </c>
      <c r="F53" s="244">
        <v>150.0</v>
      </c>
      <c r="G53" s="244">
        <v>150.0</v>
      </c>
      <c r="H53" s="244">
        <v>300.0</v>
      </c>
      <c r="I53" s="244">
        <v>263.0</v>
      </c>
      <c r="J53" s="244">
        <v>12584.0</v>
      </c>
      <c r="K53" s="244">
        <v>12332.0</v>
      </c>
      <c r="L53" s="244">
        <v>12082.0</v>
      </c>
      <c r="M53" s="244">
        <v>11832.0</v>
      </c>
      <c r="N53" s="244">
        <v>11582.0</v>
      </c>
      <c r="O53" s="131"/>
      <c r="P53" s="131"/>
    </row>
    <row r="54" ht="15.75" customHeight="1">
      <c r="A54" s="244"/>
      <c r="B54" s="244"/>
      <c r="C54" s="244"/>
      <c r="D54" s="244"/>
      <c r="E54" s="245"/>
      <c r="F54" s="244"/>
      <c r="G54" s="244"/>
      <c r="H54" s="244"/>
      <c r="I54" s="245"/>
      <c r="J54" s="245"/>
      <c r="K54" s="245"/>
      <c r="L54" s="245"/>
      <c r="M54" s="245"/>
      <c r="N54" s="245"/>
    </row>
    <row r="55" ht="15.75" customHeight="1">
      <c r="A55" s="247" t="s">
        <v>291</v>
      </c>
      <c r="B55" s="247">
        <f>Sum(B46:B52)</f>
        <v>47515</v>
      </c>
      <c r="C55" s="247">
        <f t="shared" ref="C55:N55" si="5">Sum(C43:C54)</f>
        <v>19875</v>
      </c>
      <c r="D55" s="247">
        <f t="shared" si="5"/>
        <v>19600</v>
      </c>
      <c r="E55" s="247">
        <f t="shared" si="5"/>
        <v>45598</v>
      </c>
      <c r="F55" s="247">
        <f t="shared" si="5"/>
        <v>423688</v>
      </c>
      <c r="G55" s="247">
        <f t="shared" si="5"/>
        <v>28100</v>
      </c>
      <c r="H55" s="247">
        <f t="shared" si="5"/>
        <v>409095</v>
      </c>
      <c r="I55" s="247">
        <f t="shared" si="5"/>
        <v>419113</v>
      </c>
      <c r="J55" s="247">
        <f t="shared" si="5"/>
        <v>429915</v>
      </c>
      <c r="K55" s="247">
        <f t="shared" si="5"/>
        <v>424257</v>
      </c>
      <c r="L55" s="247">
        <f t="shared" si="5"/>
        <v>411894</v>
      </c>
      <c r="M55" s="247">
        <f t="shared" si="5"/>
        <v>405582</v>
      </c>
      <c r="N55" s="247">
        <f t="shared" si="5"/>
        <v>391582</v>
      </c>
    </row>
    <row r="56" ht="15.75" customHeight="1">
      <c r="A56" s="207"/>
      <c r="B56" s="207"/>
      <c r="C56" s="208"/>
      <c r="D56" s="208"/>
      <c r="E56" s="208"/>
      <c r="F56" s="208"/>
      <c r="G56" s="208"/>
      <c r="H56" s="208"/>
      <c r="I56" s="208"/>
      <c r="J56" s="208"/>
      <c r="K56" s="208"/>
      <c r="L56" s="208"/>
      <c r="M56" s="208"/>
      <c r="N56" s="208"/>
    </row>
    <row r="57" ht="15.75" customHeight="1">
      <c r="A57" s="248" t="s">
        <v>412</v>
      </c>
      <c r="B57" s="248">
        <v>100.0</v>
      </c>
      <c r="C57" s="248">
        <v>145.0</v>
      </c>
      <c r="D57" s="248">
        <v>285.0</v>
      </c>
      <c r="E57" s="248">
        <v>355.0</v>
      </c>
      <c r="F57" s="248">
        <v>273.0</v>
      </c>
      <c r="G57" s="248">
        <v>205.0</v>
      </c>
      <c r="H57" s="248">
        <v>178.0</v>
      </c>
      <c r="I57" s="248">
        <v>205.0</v>
      </c>
      <c r="J57" s="248">
        <v>250.0</v>
      </c>
      <c r="K57" s="248">
        <v>250.0</v>
      </c>
      <c r="L57" s="248">
        <v>250.0</v>
      </c>
      <c r="M57" s="248">
        <v>250.0</v>
      </c>
      <c r="N57" s="248">
        <v>250.0</v>
      </c>
    </row>
    <row r="58" ht="15.75" customHeight="1">
      <c r="A58" s="248" t="s">
        <v>412</v>
      </c>
      <c r="B58" s="248">
        <v>250.0</v>
      </c>
      <c r="C58" s="248">
        <v>75.0</v>
      </c>
      <c r="D58" s="248"/>
      <c r="E58" s="248">
        <v>140.0</v>
      </c>
      <c r="F58" s="248">
        <v>135.0</v>
      </c>
      <c r="G58" s="248">
        <v>138.0</v>
      </c>
      <c r="H58" s="248">
        <v>203.0</v>
      </c>
      <c r="I58" s="248">
        <v>0.0</v>
      </c>
      <c r="J58" s="249"/>
      <c r="K58" s="249"/>
      <c r="L58" s="249"/>
      <c r="M58" s="249"/>
      <c r="N58" s="249"/>
    </row>
    <row r="59" ht="15.75" customHeight="1">
      <c r="A59" s="248" t="s">
        <v>412</v>
      </c>
      <c r="B59" s="248"/>
      <c r="C59" s="248"/>
      <c r="D59" s="248"/>
      <c r="E59" s="248"/>
      <c r="F59" s="248"/>
      <c r="G59" s="248">
        <v>70.0</v>
      </c>
      <c r="H59" s="248">
        <v>205.0</v>
      </c>
      <c r="I59" s="248"/>
      <c r="J59" s="249"/>
      <c r="K59" s="249"/>
      <c r="L59" s="249"/>
      <c r="M59" s="249"/>
      <c r="N59" s="249"/>
    </row>
    <row r="60" ht="15.75" customHeight="1">
      <c r="A60" s="248" t="s">
        <v>413</v>
      </c>
      <c r="B60" s="248">
        <v>2654.0</v>
      </c>
      <c r="C60" s="248">
        <v>150.0</v>
      </c>
      <c r="D60" s="248">
        <v>150.0</v>
      </c>
      <c r="E60" s="248">
        <v>150.0</v>
      </c>
      <c r="F60" s="248">
        <v>150.0</v>
      </c>
      <c r="G60" s="248">
        <v>150.0</v>
      </c>
      <c r="H60" s="248">
        <v>300.0</v>
      </c>
      <c r="I60" s="248">
        <v>263.0</v>
      </c>
      <c r="J60" s="248">
        <v>257.0</v>
      </c>
      <c r="K60" s="248">
        <v>252.0</v>
      </c>
      <c r="L60" s="248">
        <v>250.0</v>
      </c>
      <c r="M60" s="248">
        <v>250.0</v>
      </c>
      <c r="N60" s="249">
        <v>332.0</v>
      </c>
    </row>
    <row r="61" ht="15.75" customHeight="1">
      <c r="A61" s="250"/>
      <c r="B61" s="248"/>
      <c r="C61" s="249"/>
      <c r="D61" s="249"/>
      <c r="E61" s="249"/>
      <c r="F61" s="249"/>
      <c r="G61" s="249"/>
      <c r="H61" s="249"/>
      <c r="I61" s="249"/>
      <c r="J61" s="249"/>
      <c r="K61" s="249"/>
      <c r="L61" s="249"/>
      <c r="M61" s="249"/>
      <c r="N61" s="249"/>
    </row>
    <row r="62" ht="15.75" customHeight="1">
      <c r="A62" s="248" t="s">
        <v>33</v>
      </c>
      <c r="B62" s="248">
        <v>500.0</v>
      </c>
      <c r="C62" s="248">
        <f t="shared" ref="C62:N62" si="6">Sum(C57:C60)</f>
        <v>370</v>
      </c>
      <c r="D62" s="248">
        <f t="shared" si="6"/>
        <v>435</v>
      </c>
      <c r="E62" s="248">
        <f t="shared" si="6"/>
        <v>645</v>
      </c>
      <c r="F62" s="248">
        <f t="shared" si="6"/>
        <v>558</v>
      </c>
      <c r="G62" s="248">
        <f t="shared" si="6"/>
        <v>563</v>
      </c>
      <c r="H62" s="248">
        <f t="shared" si="6"/>
        <v>886</v>
      </c>
      <c r="I62" s="248">
        <f t="shared" si="6"/>
        <v>468</v>
      </c>
      <c r="J62" s="248">
        <f t="shared" si="6"/>
        <v>507</v>
      </c>
      <c r="K62" s="248">
        <f t="shared" si="6"/>
        <v>502</v>
      </c>
      <c r="L62" s="248">
        <f t="shared" si="6"/>
        <v>500</v>
      </c>
      <c r="M62" s="248">
        <f t="shared" si="6"/>
        <v>500</v>
      </c>
      <c r="N62" s="248">
        <f t="shared" si="6"/>
        <v>582</v>
      </c>
    </row>
    <row r="63" ht="15.75" customHeight="1">
      <c r="A63" s="207"/>
      <c r="B63" s="207"/>
      <c r="C63" s="208"/>
      <c r="D63" s="208"/>
      <c r="E63" s="208"/>
      <c r="F63" s="208"/>
      <c r="G63" s="208"/>
      <c r="H63" s="208"/>
      <c r="I63" s="208"/>
      <c r="J63" s="208"/>
      <c r="K63" s="208"/>
      <c r="L63" s="208"/>
      <c r="M63" s="208"/>
      <c r="N63" s="208"/>
    </row>
    <row r="64" ht="15.75" customHeight="1">
      <c r="A64" s="207" t="s">
        <v>294</v>
      </c>
      <c r="B64" s="207"/>
      <c r="C64" s="207"/>
      <c r="D64" s="207"/>
      <c r="E64" s="208"/>
      <c r="F64" s="207"/>
      <c r="G64" s="207"/>
      <c r="H64" s="208"/>
      <c r="I64" s="208">
        <v>1148.28</v>
      </c>
      <c r="J64" s="208"/>
      <c r="K64" s="208"/>
      <c r="L64" s="208"/>
      <c r="M64" s="208"/>
      <c r="N64" s="208"/>
    </row>
    <row r="65" ht="15.75" customHeight="1">
      <c r="A65" s="207"/>
      <c r="B65" s="207"/>
      <c r="C65" s="207"/>
      <c r="D65" s="208"/>
      <c r="E65" s="208"/>
      <c r="F65" s="208"/>
      <c r="G65" s="208"/>
      <c r="H65" s="208"/>
      <c r="I65" s="208"/>
      <c r="J65" s="208"/>
      <c r="K65" s="208"/>
      <c r="L65" s="208"/>
      <c r="M65" s="208"/>
      <c r="N65" s="208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4.25"/>
    <col customWidth="1" min="2" max="2" width="12.25"/>
    <col customWidth="1" min="3" max="3" width="6.5"/>
    <col customWidth="1" min="4" max="6" width="6.88"/>
    <col customWidth="1" min="7" max="7" width="6.38"/>
    <col customWidth="1" min="8" max="8" width="6.13"/>
    <col customWidth="1" min="9" max="9" width="5.63"/>
    <col customWidth="1" min="10" max="10" width="6.38"/>
    <col customWidth="1" min="11" max="11" width="6.25"/>
    <col customWidth="1" min="12" max="12" width="6.0"/>
    <col customWidth="1" min="13" max="14" width="6.25"/>
    <col customWidth="1" min="15" max="15" width="15.13"/>
    <col customWidth="1" min="16" max="16" width="12.0"/>
    <col customWidth="1" min="17" max="17" width="11.88"/>
    <col customWidth="1" min="18" max="18" width="10.38"/>
    <col customWidth="1" min="19" max="19" width="19.38"/>
    <col customWidth="1" min="20" max="20" width="13.0"/>
    <col customWidth="1" min="21" max="21" width="5.88"/>
    <col customWidth="1" min="22" max="23" width="6.0"/>
    <col customWidth="1" min="24" max="24" width="5.88"/>
    <col customWidth="1" min="25" max="25" width="6.25"/>
    <col customWidth="1" min="26" max="26" width="6.0"/>
    <col customWidth="1" min="27" max="27" width="5.5"/>
    <col customWidth="1" min="28" max="28" width="6.25"/>
    <col customWidth="1" min="29" max="29" width="6.13"/>
    <col customWidth="1" min="30" max="30" width="5.88"/>
    <col customWidth="1" min="31" max="32" width="6.13"/>
  </cols>
  <sheetData>
    <row r="1" ht="15.75" customHeight="1">
      <c r="A1" s="251" t="s">
        <v>414</v>
      </c>
      <c r="B1" s="252" t="s">
        <v>71</v>
      </c>
      <c r="C1" s="252" t="s">
        <v>415</v>
      </c>
      <c r="D1" s="252" t="s">
        <v>416</v>
      </c>
      <c r="E1" s="252" t="s">
        <v>417</v>
      </c>
      <c r="F1" s="252" t="s">
        <v>418</v>
      </c>
      <c r="G1" s="252" t="s">
        <v>419</v>
      </c>
      <c r="H1" s="252" t="s">
        <v>420</v>
      </c>
      <c r="I1" s="252" t="s">
        <v>421</v>
      </c>
      <c r="J1" s="252" t="s">
        <v>422</v>
      </c>
      <c r="K1" s="252" t="s">
        <v>423</v>
      </c>
      <c r="L1" s="252" t="s">
        <v>424</v>
      </c>
      <c r="M1" s="252" t="s">
        <v>425</v>
      </c>
      <c r="N1" s="239" t="s">
        <v>426</v>
      </c>
      <c r="S1" s="251" t="s">
        <v>427</v>
      </c>
      <c r="T1" s="252" t="s">
        <v>71</v>
      </c>
      <c r="U1" s="252" t="s">
        <v>343</v>
      </c>
      <c r="V1" s="252" t="s">
        <v>344</v>
      </c>
      <c r="W1" s="252" t="s">
        <v>345</v>
      </c>
      <c r="X1" s="252" t="s">
        <v>346</v>
      </c>
      <c r="Y1" s="252" t="s">
        <v>347</v>
      </c>
      <c r="Z1" s="252" t="s">
        <v>348</v>
      </c>
      <c r="AA1" s="252" t="s">
        <v>349</v>
      </c>
      <c r="AB1" s="252" t="s">
        <v>350</v>
      </c>
      <c r="AC1" s="252" t="s">
        <v>351</v>
      </c>
      <c r="AD1" s="252" t="s">
        <v>352</v>
      </c>
      <c r="AE1" s="252" t="s">
        <v>353</v>
      </c>
      <c r="AF1" s="239" t="s">
        <v>354</v>
      </c>
    </row>
    <row r="2" ht="15.75" customHeight="1">
      <c r="A2" s="238"/>
      <c r="B2" s="239"/>
      <c r="C2" s="239">
        <v>4249.0</v>
      </c>
      <c r="D2" s="239">
        <v>4722.0</v>
      </c>
      <c r="E2" s="239">
        <v>4101.0</v>
      </c>
      <c r="F2" s="241">
        <v>3803.0</v>
      </c>
      <c r="G2" s="241">
        <v>4740.0</v>
      </c>
      <c r="H2" s="239">
        <v>4647.0</v>
      </c>
      <c r="I2" s="239">
        <v>4097.0</v>
      </c>
      <c r="J2" s="239">
        <v>4146.0</v>
      </c>
      <c r="K2" s="239">
        <v>4835.0</v>
      </c>
      <c r="L2" s="239">
        <v>4445.0</v>
      </c>
      <c r="M2" s="239">
        <v>4317.0</v>
      </c>
      <c r="N2" s="239">
        <v>4130.0</v>
      </c>
      <c r="S2" s="238"/>
      <c r="T2" s="239"/>
      <c r="U2" s="241"/>
      <c r="V2" s="241"/>
      <c r="W2" s="241"/>
      <c r="X2" s="241"/>
      <c r="Y2" s="241"/>
      <c r="Z2" s="239"/>
      <c r="AA2" s="239"/>
      <c r="AB2" s="239"/>
      <c r="AC2" s="239"/>
      <c r="AD2" s="239"/>
      <c r="AE2" s="239"/>
      <c r="AF2" s="241"/>
    </row>
    <row r="3" ht="15.75" customHeight="1">
      <c r="A3" s="239" t="s">
        <v>428</v>
      </c>
      <c r="B3" s="241">
        <v>249070.0</v>
      </c>
      <c r="C3" s="239">
        <v>630.0</v>
      </c>
      <c r="D3" s="239">
        <v>630.0</v>
      </c>
      <c r="E3" s="239">
        <v>630.0</v>
      </c>
      <c r="F3" s="239">
        <v>630.0</v>
      </c>
      <c r="G3" s="239">
        <v>630.0</v>
      </c>
      <c r="H3" s="239">
        <v>630.0</v>
      </c>
      <c r="I3" s="239">
        <v>630.0</v>
      </c>
      <c r="J3" s="239">
        <v>630.0</v>
      </c>
      <c r="K3" s="239">
        <v>630.0</v>
      </c>
      <c r="L3" s="239">
        <v>630.0</v>
      </c>
      <c r="M3" s="239">
        <v>630.0</v>
      </c>
      <c r="N3" s="239">
        <v>630.0</v>
      </c>
      <c r="S3" s="239" t="s">
        <v>429</v>
      </c>
      <c r="T3" s="241"/>
      <c r="U3" s="241">
        <v>300.0</v>
      </c>
      <c r="V3" s="241"/>
      <c r="W3" s="241"/>
      <c r="X3" s="241"/>
      <c r="Y3" s="241"/>
      <c r="Z3" s="239"/>
      <c r="AA3" s="239"/>
      <c r="AB3" s="239"/>
      <c r="AC3" s="239"/>
      <c r="AD3" s="239"/>
      <c r="AE3" s="239"/>
      <c r="AF3" s="241"/>
    </row>
    <row r="4" ht="15.75" customHeight="1">
      <c r="A4" s="239" t="s">
        <v>362</v>
      </c>
      <c r="B4" s="241">
        <v>15773.0</v>
      </c>
      <c r="C4" s="239">
        <v>460.0</v>
      </c>
      <c r="D4" s="239">
        <v>460.0</v>
      </c>
      <c r="E4" s="239">
        <v>460.0</v>
      </c>
      <c r="F4" s="239">
        <v>460.0</v>
      </c>
      <c r="G4" s="239">
        <v>460.0</v>
      </c>
      <c r="H4" s="239">
        <v>460.0</v>
      </c>
      <c r="I4" s="239">
        <v>460.0</v>
      </c>
      <c r="J4" s="239">
        <v>460.0</v>
      </c>
      <c r="K4" s="239">
        <v>460.0</v>
      </c>
      <c r="L4" s="239">
        <v>460.0</v>
      </c>
      <c r="M4" s="239">
        <v>460.0</v>
      </c>
      <c r="N4" s="239">
        <v>460.0</v>
      </c>
      <c r="S4" s="239" t="s">
        <v>430</v>
      </c>
      <c r="T4" s="241"/>
      <c r="U4" s="241">
        <v>228.0</v>
      </c>
      <c r="V4" s="241"/>
      <c r="W4" s="241"/>
      <c r="X4" s="241"/>
      <c r="Y4" s="241"/>
      <c r="Z4" s="239"/>
      <c r="AA4" s="239"/>
      <c r="AB4" s="239"/>
      <c r="AC4" s="239"/>
      <c r="AD4" s="239"/>
      <c r="AE4" s="239"/>
      <c r="AF4" s="241"/>
    </row>
    <row r="5" ht="15.75" customHeight="1">
      <c r="A5" s="239" t="s">
        <v>364</v>
      </c>
      <c r="B5" s="241" t="s">
        <v>223</v>
      </c>
      <c r="C5" s="239">
        <v>240.0</v>
      </c>
      <c r="D5" s="239">
        <v>240.0</v>
      </c>
      <c r="E5" s="239">
        <v>240.0</v>
      </c>
      <c r="F5" s="239">
        <v>226.0</v>
      </c>
      <c r="G5" s="239">
        <v>184.0</v>
      </c>
      <c r="H5" s="239">
        <v>184.0</v>
      </c>
      <c r="I5" s="239">
        <v>184.0</v>
      </c>
      <c r="J5" s="239">
        <v>184.0</v>
      </c>
      <c r="K5" s="239">
        <v>184.0</v>
      </c>
      <c r="L5" s="239">
        <v>184.0</v>
      </c>
      <c r="M5" s="239">
        <v>184.0</v>
      </c>
      <c r="N5" s="239">
        <v>184.0</v>
      </c>
      <c r="S5" s="239" t="s">
        <v>431</v>
      </c>
      <c r="T5" s="241"/>
      <c r="U5" s="241">
        <v>0.0</v>
      </c>
      <c r="V5" s="241"/>
      <c r="W5" s="241"/>
      <c r="X5" s="241"/>
      <c r="Y5" s="241"/>
      <c r="Z5" s="239"/>
      <c r="AA5" s="239"/>
      <c r="AB5" s="239"/>
      <c r="AC5" s="239"/>
      <c r="AD5" s="239"/>
      <c r="AE5" s="239"/>
      <c r="AF5" s="241"/>
    </row>
    <row r="6" ht="15.75" customHeight="1">
      <c r="A6" s="239" t="s">
        <v>432</v>
      </c>
      <c r="B6" s="241" t="s">
        <v>223</v>
      </c>
      <c r="C6" s="239">
        <v>250.0</v>
      </c>
      <c r="D6" s="239">
        <v>250.0</v>
      </c>
      <c r="E6" s="239">
        <v>250.0</v>
      </c>
      <c r="F6" s="239">
        <v>250.0</v>
      </c>
      <c r="G6" s="239">
        <v>500.0</v>
      </c>
      <c r="H6" s="239">
        <v>250.0</v>
      </c>
      <c r="I6" s="239">
        <v>442.0</v>
      </c>
      <c r="J6" s="239">
        <v>500.0</v>
      </c>
      <c r="K6" s="239">
        <v>0.0</v>
      </c>
      <c r="L6" s="239">
        <v>470.0</v>
      </c>
      <c r="M6" s="239">
        <v>500.0</v>
      </c>
      <c r="N6" s="239">
        <v>500.0</v>
      </c>
      <c r="S6" s="239" t="s">
        <v>433</v>
      </c>
      <c r="T6" s="241"/>
      <c r="U6" s="241">
        <v>0.0</v>
      </c>
      <c r="V6" s="241"/>
      <c r="W6" s="241"/>
      <c r="X6" s="241"/>
      <c r="Y6" s="241"/>
      <c r="Z6" s="239"/>
      <c r="AA6" s="239"/>
      <c r="AB6" s="239"/>
      <c r="AC6" s="239"/>
      <c r="AD6" s="239"/>
      <c r="AE6" s="239"/>
      <c r="AF6" s="241"/>
    </row>
    <row r="7" ht="15.75" customHeight="1">
      <c r="A7" s="239" t="s">
        <v>366</v>
      </c>
      <c r="B7" s="241">
        <v>0.0</v>
      </c>
      <c r="C7" s="239">
        <v>2000.0</v>
      </c>
      <c r="D7" s="239">
        <v>1500.0</v>
      </c>
      <c r="E7" s="239">
        <v>550.0</v>
      </c>
      <c r="F7" s="239">
        <v>700.0</v>
      </c>
      <c r="G7" s="239">
        <v>1000.0</v>
      </c>
      <c r="H7" s="239">
        <v>675.0</v>
      </c>
      <c r="I7" s="239">
        <v>825.0</v>
      </c>
      <c r="J7" s="239">
        <v>1200.0</v>
      </c>
      <c r="K7" s="239">
        <v>1400.0</v>
      </c>
      <c r="L7" s="239">
        <v>800.0</v>
      </c>
      <c r="M7" s="239">
        <v>800.0</v>
      </c>
      <c r="N7" s="239">
        <v>1000.0</v>
      </c>
      <c r="S7" s="253" t="s">
        <v>434</v>
      </c>
      <c r="T7" s="241"/>
      <c r="U7" s="241">
        <v>0.0</v>
      </c>
      <c r="V7" s="241"/>
      <c r="W7" s="241"/>
      <c r="X7" s="241"/>
      <c r="Y7" s="241"/>
      <c r="Z7" s="239"/>
      <c r="AA7" s="239"/>
      <c r="AB7" s="239"/>
      <c r="AC7" s="239"/>
      <c r="AD7" s="239"/>
      <c r="AE7" s="239"/>
      <c r="AF7" s="241"/>
    </row>
    <row r="8" ht="15.75" customHeight="1">
      <c r="A8" s="239" t="s">
        <v>435</v>
      </c>
      <c r="B8" s="241" t="s">
        <v>223</v>
      </c>
      <c r="C8" s="239">
        <v>100.0</v>
      </c>
      <c r="D8" s="239">
        <v>0.0</v>
      </c>
      <c r="E8" s="239">
        <v>252.0</v>
      </c>
      <c r="F8" s="239">
        <v>500.0</v>
      </c>
      <c r="G8" s="239">
        <v>500.0</v>
      </c>
      <c r="H8" s="239">
        <v>500.0</v>
      </c>
      <c r="I8" s="239">
        <v>500.0</v>
      </c>
      <c r="J8" s="239">
        <v>500.0</v>
      </c>
      <c r="K8" s="239">
        <v>0.0</v>
      </c>
      <c r="L8" s="239">
        <v>500.0</v>
      </c>
      <c r="M8" s="239">
        <v>550.0</v>
      </c>
      <c r="N8" s="239">
        <v>550.0</v>
      </c>
      <c r="S8" s="253"/>
      <c r="T8" s="241"/>
      <c r="U8" s="241"/>
      <c r="V8" s="241"/>
      <c r="W8" s="241"/>
      <c r="X8" s="241"/>
      <c r="Y8" s="241"/>
      <c r="Z8" s="239"/>
      <c r="AA8" s="239"/>
      <c r="AB8" s="239"/>
      <c r="AC8" s="239"/>
      <c r="AD8" s="239"/>
      <c r="AE8" s="239"/>
      <c r="AF8" s="241"/>
    </row>
    <row r="9" ht="15.75" customHeight="1">
      <c r="A9" s="239" t="s">
        <v>436</v>
      </c>
      <c r="B9" s="241" t="s">
        <v>223</v>
      </c>
      <c r="C9" s="239">
        <v>0.0</v>
      </c>
      <c r="D9" s="239">
        <v>0.0</v>
      </c>
      <c r="E9" s="239">
        <v>0.0</v>
      </c>
      <c r="F9" s="239">
        <v>268.0</v>
      </c>
      <c r="G9" s="239">
        <v>362.0</v>
      </c>
      <c r="H9" s="239">
        <v>1185.0</v>
      </c>
      <c r="I9" s="239">
        <v>228.0</v>
      </c>
      <c r="J9" s="239">
        <v>228.0</v>
      </c>
      <c r="K9" s="239">
        <v>1888.0</v>
      </c>
      <c r="L9" s="239">
        <v>306.0</v>
      </c>
      <c r="M9" s="239">
        <v>228.0</v>
      </c>
      <c r="N9" s="239">
        <v>228.0</v>
      </c>
      <c r="S9" s="239"/>
      <c r="T9" s="241"/>
      <c r="U9" s="241"/>
      <c r="V9" s="241"/>
      <c r="W9" s="241"/>
      <c r="X9" s="241"/>
      <c r="Y9" s="239"/>
      <c r="Z9" s="239"/>
      <c r="AA9" s="239"/>
      <c r="AB9" s="239"/>
      <c r="AC9" s="239"/>
      <c r="AD9" s="239"/>
      <c r="AE9" s="239"/>
      <c r="AF9" s="241"/>
    </row>
    <row r="10" ht="15.75" customHeight="1">
      <c r="A10" s="239" t="s">
        <v>437</v>
      </c>
      <c r="B10" s="241">
        <v>2500.0</v>
      </c>
      <c r="C10" s="239">
        <v>250.0</v>
      </c>
      <c r="D10" s="239">
        <v>500.0</v>
      </c>
      <c r="E10" s="239">
        <v>0.0</v>
      </c>
      <c r="F10" s="239">
        <v>368.0</v>
      </c>
      <c r="G10" s="239">
        <v>0.0</v>
      </c>
      <c r="H10" s="239">
        <v>150.0</v>
      </c>
      <c r="I10" s="239">
        <v>0.0</v>
      </c>
      <c r="J10" s="239">
        <v>0.0</v>
      </c>
      <c r="K10" s="239">
        <v>0.0</v>
      </c>
      <c r="L10" s="239">
        <v>270.0</v>
      </c>
      <c r="M10" s="239">
        <v>260.0</v>
      </c>
      <c r="N10" s="239">
        <v>0.0</v>
      </c>
      <c r="S10" s="239"/>
      <c r="T10" s="241"/>
      <c r="U10" s="241"/>
      <c r="V10" s="241"/>
      <c r="W10" s="241"/>
      <c r="X10" s="241"/>
      <c r="Y10" s="239"/>
      <c r="Z10" s="239"/>
      <c r="AA10" s="239"/>
      <c r="AB10" s="239"/>
      <c r="AC10" s="239"/>
      <c r="AD10" s="239"/>
      <c r="AE10" s="239"/>
      <c r="AF10" s="241"/>
    </row>
    <row r="11" ht="15.75" customHeight="1">
      <c r="A11" s="239" t="s">
        <v>369</v>
      </c>
      <c r="B11" s="241">
        <v>0.0</v>
      </c>
      <c r="C11" s="239">
        <v>322.0</v>
      </c>
      <c r="D11" s="239">
        <v>1000.0</v>
      </c>
      <c r="E11" s="239">
        <v>240.0</v>
      </c>
      <c r="F11" s="241">
        <v>192.0</v>
      </c>
      <c r="G11" s="241">
        <v>200.0</v>
      </c>
      <c r="H11" s="239">
        <v>175.0</v>
      </c>
      <c r="I11" s="239">
        <v>162.0</v>
      </c>
      <c r="J11" s="239">
        <v>170.0</v>
      </c>
      <c r="K11" s="239">
        <v>168.0</v>
      </c>
      <c r="L11" s="239">
        <v>163.0</v>
      </c>
      <c r="M11" s="239">
        <v>182.0</v>
      </c>
      <c r="N11" s="239">
        <v>121.0</v>
      </c>
      <c r="S11" s="254" t="s">
        <v>33</v>
      </c>
      <c r="T11" s="255"/>
      <c r="U11" s="255">
        <f t="shared" ref="U11:AF11" si="1">Sum(U3:U10)</f>
        <v>528</v>
      </c>
      <c r="V11" s="255">
        <f t="shared" si="1"/>
        <v>0</v>
      </c>
      <c r="W11" s="254">
        <f t="shared" si="1"/>
        <v>0</v>
      </c>
      <c r="X11" s="254">
        <f t="shared" si="1"/>
        <v>0</v>
      </c>
      <c r="Y11" s="254">
        <f t="shared" si="1"/>
        <v>0</v>
      </c>
      <c r="Z11" s="254">
        <f t="shared" si="1"/>
        <v>0</v>
      </c>
      <c r="AA11" s="254">
        <f t="shared" si="1"/>
        <v>0</v>
      </c>
      <c r="AB11" s="254">
        <f t="shared" si="1"/>
        <v>0</v>
      </c>
      <c r="AC11" s="254">
        <f t="shared" si="1"/>
        <v>0</v>
      </c>
      <c r="AD11" s="254">
        <f t="shared" si="1"/>
        <v>0</v>
      </c>
      <c r="AE11" s="254">
        <f t="shared" si="1"/>
        <v>0</v>
      </c>
      <c r="AF11" s="254">
        <f t="shared" si="1"/>
        <v>0</v>
      </c>
    </row>
    <row r="12" ht="15.75" customHeight="1">
      <c r="A12" s="239" t="s">
        <v>438</v>
      </c>
      <c r="B12" s="241"/>
      <c r="C12" s="239">
        <v>0.0</v>
      </c>
      <c r="D12" s="239">
        <v>0.0</v>
      </c>
      <c r="E12" s="239">
        <v>0.0</v>
      </c>
      <c r="F12" s="241">
        <v>0.0</v>
      </c>
      <c r="G12" s="239">
        <v>360.0</v>
      </c>
      <c r="H12" s="239">
        <v>429.0</v>
      </c>
      <c r="I12" s="239">
        <v>0.0</v>
      </c>
      <c r="J12" s="239">
        <v>75.0</v>
      </c>
      <c r="K12" s="239">
        <v>23.0</v>
      </c>
      <c r="L12" s="239">
        <v>0.0</v>
      </c>
      <c r="M12" s="239">
        <v>270.0</v>
      </c>
      <c r="N12" s="239">
        <v>0.0</v>
      </c>
      <c r="S12" s="254"/>
      <c r="T12" s="255"/>
      <c r="U12" s="255"/>
      <c r="V12" s="255"/>
      <c r="W12" s="254"/>
      <c r="X12" s="254"/>
      <c r="Y12" s="254"/>
      <c r="Z12" s="254"/>
      <c r="AA12" s="254"/>
      <c r="AB12" s="254"/>
      <c r="AC12" s="254"/>
      <c r="AD12" s="254"/>
      <c r="AE12" s="254"/>
      <c r="AF12" s="254"/>
    </row>
    <row r="13" ht="15.75" customHeight="1">
      <c r="A13" s="254" t="s">
        <v>33</v>
      </c>
      <c r="B13" s="255">
        <f>Sum(B3,B4,B10)</f>
        <v>267343</v>
      </c>
      <c r="C13" s="254">
        <f t="shared" ref="C13:N13" si="2">Sum(C3:C12)</f>
        <v>4252</v>
      </c>
      <c r="D13" s="254">
        <f t="shared" si="2"/>
        <v>4580</v>
      </c>
      <c r="E13" s="254">
        <f t="shared" si="2"/>
        <v>2622</v>
      </c>
      <c r="F13" s="254">
        <f t="shared" si="2"/>
        <v>3594</v>
      </c>
      <c r="G13" s="255">
        <f t="shared" si="2"/>
        <v>4196</v>
      </c>
      <c r="H13" s="255">
        <f t="shared" si="2"/>
        <v>4638</v>
      </c>
      <c r="I13" s="254">
        <f t="shared" si="2"/>
        <v>3431</v>
      </c>
      <c r="J13" s="254">
        <f t="shared" si="2"/>
        <v>3947</v>
      </c>
      <c r="K13" s="254">
        <f t="shared" si="2"/>
        <v>4753</v>
      </c>
      <c r="L13" s="254">
        <f t="shared" si="2"/>
        <v>3783</v>
      </c>
      <c r="M13" s="254">
        <f t="shared" si="2"/>
        <v>4064</v>
      </c>
      <c r="N13" s="254">
        <f t="shared" si="2"/>
        <v>3673</v>
      </c>
      <c r="S13" s="254" t="s">
        <v>73</v>
      </c>
      <c r="T13" s="255"/>
      <c r="U13" s="255">
        <f t="shared" ref="U13:AF13" si="3">U2-U11</f>
        <v>-528</v>
      </c>
      <c r="V13" s="255">
        <f t="shared" si="3"/>
        <v>0</v>
      </c>
      <c r="W13" s="254">
        <f t="shared" si="3"/>
        <v>0</v>
      </c>
      <c r="X13" s="254">
        <f t="shared" si="3"/>
        <v>0</v>
      </c>
      <c r="Y13" s="254">
        <f t="shared" si="3"/>
        <v>0</v>
      </c>
      <c r="Z13" s="254">
        <f t="shared" si="3"/>
        <v>0</v>
      </c>
      <c r="AA13" s="254">
        <f t="shared" si="3"/>
        <v>0</v>
      </c>
      <c r="AB13" s="254">
        <f t="shared" si="3"/>
        <v>0</v>
      </c>
      <c r="AC13" s="254">
        <f t="shared" si="3"/>
        <v>0</v>
      </c>
      <c r="AD13" s="254">
        <f t="shared" si="3"/>
        <v>0</v>
      </c>
      <c r="AE13" s="254">
        <f t="shared" si="3"/>
        <v>0</v>
      </c>
      <c r="AF13" s="254">
        <f t="shared" si="3"/>
        <v>0</v>
      </c>
    </row>
    <row r="14" ht="18.0" customHeight="1">
      <c r="A14" s="256" t="s">
        <v>439</v>
      </c>
      <c r="B14" s="257" t="s">
        <v>71</v>
      </c>
      <c r="C14" s="257" t="s">
        <v>440</v>
      </c>
      <c r="D14" s="257" t="s">
        <v>441</v>
      </c>
      <c r="E14" s="257" t="s">
        <v>442</v>
      </c>
      <c r="F14" s="257" t="s">
        <v>443</v>
      </c>
      <c r="G14" s="257" t="s">
        <v>444</v>
      </c>
      <c r="H14" s="257" t="s">
        <v>445</v>
      </c>
      <c r="I14" s="257" t="s">
        <v>446</v>
      </c>
      <c r="J14" s="257" t="s">
        <v>447</v>
      </c>
      <c r="K14" s="257" t="s">
        <v>448</v>
      </c>
      <c r="L14" s="257" t="s">
        <v>449</v>
      </c>
      <c r="M14" s="257" t="s">
        <v>450</v>
      </c>
      <c r="N14" s="257" t="s">
        <v>451</v>
      </c>
      <c r="S14" s="256" t="s">
        <v>452</v>
      </c>
      <c r="T14" s="257" t="s">
        <v>71</v>
      </c>
      <c r="U14" s="258" t="s">
        <v>343</v>
      </c>
      <c r="V14" s="258" t="s">
        <v>344</v>
      </c>
      <c r="W14" s="258" t="s">
        <v>345</v>
      </c>
      <c r="X14" s="258" t="s">
        <v>346</v>
      </c>
      <c r="Y14" s="258" t="s">
        <v>347</v>
      </c>
      <c r="Z14" s="258" t="s">
        <v>348</v>
      </c>
      <c r="AA14" s="258" t="s">
        <v>349</v>
      </c>
      <c r="AB14" s="258" t="s">
        <v>350</v>
      </c>
      <c r="AC14" s="258" t="s">
        <v>351</v>
      </c>
      <c r="AD14" s="258" t="s">
        <v>352</v>
      </c>
      <c r="AE14" s="258" t="s">
        <v>353</v>
      </c>
      <c r="AF14" s="257" t="s">
        <v>354</v>
      </c>
    </row>
    <row r="15" ht="15.75" customHeight="1">
      <c r="A15" s="256"/>
      <c r="B15" s="257"/>
      <c r="C15" s="257">
        <v>4104.0</v>
      </c>
      <c r="D15" s="257">
        <v>3000.0</v>
      </c>
      <c r="E15" s="257">
        <v>2410.0</v>
      </c>
      <c r="F15" s="257">
        <v>4163.0</v>
      </c>
      <c r="G15" s="257">
        <v>4451.0</v>
      </c>
      <c r="H15" s="257">
        <v>3943.0</v>
      </c>
      <c r="I15" s="257">
        <v>4417.0</v>
      </c>
      <c r="J15" s="257">
        <v>4295.0</v>
      </c>
      <c r="K15" s="257">
        <v>4113.0</v>
      </c>
      <c r="L15" s="257">
        <v>4309.0</v>
      </c>
      <c r="M15" s="257">
        <v>4421.0</v>
      </c>
      <c r="N15" s="257">
        <v>4157.0</v>
      </c>
      <c r="S15" s="256"/>
      <c r="T15" s="257"/>
      <c r="U15" s="259"/>
      <c r="V15" s="259"/>
      <c r="W15" s="257"/>
      <c r="X15" s="257"/>
      <c r="Y15" s="259"/>
      <c r="Z15" s="257"/>
      <c r="AA15" s="257"/>
      <c r="AB15" s="257"/>
      <c r="AC15" s="257"/>
      <c r="AD15" s="257"/>
      <c r="AE15" s="259"/>
      <c r="AF15" s="257"/>
    </row>
    <row r="16" ht="15.75" customHeight="1">
      <c r="A16" s="257" t="s">
        <v>428</v>
      </c>
      <c r="B16" s="259">
        <f>B3</f>
        <v>249070</v>
      </c>
      <c r="C16" s="257">
        <v>630.0</v>
      </c>
      <c r="D16" s="257">
        <v>630.0</v>
      </c>
      <c r="E16" s="257">
        <v>630.0</v>
      </c>
      <c r="F16" s="257">
        <v>630.0</v>
      </c>
      <c r="G16" s="257">
        <v>630.0</v>
      </c>
      <c r="H16" s="257">
        <v>630.0</v>
      </c>
      <c r="I16" s="257">
        <v>630.0</v>
      </c>
      <c r="J16" s="257">
        <v>630.0</v>
      </c>
      <c r="K16" s="257">
        <v>630.0</v>
      </c>
      <c r="L16" s="257">
        <v>630.0</v>
      </c>
      <c r="M16" s="257">
        <v>630.0</v>
      </c>
      <c r="N16" s="257">
        <v>630.0</v>
      </c>
      <c r="S16" s="257" t="s">
        <v>429</v>
      </c>
      <c r="T16" s="259"/>
      <c r="U16" s="259">
        <v>300.0</v>
      </c>
      <c r="V16" s="259"/>
      <c r="W16" s="257"/>
      <c r="X16" s="257"/>
      <c r="Y16" s="259"/>
      <c r="Z16" s="257"/>
      <c r="AA16" s="257"/>
      <c r="AB16" s="257"/>
      <c r="AC16" s="257"/>
      <c r="AD16" s="257"/>
      <c r="AE16" s="259"/>
      <c r="AF16" s="259"/>
    </row>
    <row r="17" ht="15.75" customHeight="1">
      <c r="A17" s="257" t="s">
        <v>389</v>
      </c>
      <c r="B17" s="259">
        <v>12473.0</v>
      </c>
      <c r="C17" s="257">
        <v>201.0</v>
      </c>
      <c r="D17" s="257">
        <v>201.0</v>
      </c>
      <c r="E17" s="257">
        <v>201.0</v>
      </c>
      <c r="F17" s="257">
        <v>201.0</v>
      </c>
      <c r="G17" s="257">
        <v>201.0</v>
      </c>
      <c r="H17" s="257">
        <v>201.0</v>
      </c>
      <c r="I17" s="257">
        <v>201.0</v>
      </c>
      <c r="J17" s="257">
        <v>201.0</v>
      </c>
      <c r="K17" s="257">
        <v>201.0</v>
      </c>
      <c r="L17" s="257">
        <v>201.0</v>
      </c>
      <c r="M17" s="257">
        <v>201.0</v>
      </c>
      <c r="N17" s="257">
        <v>201.0</v>
      </c>
      <c r="S17" s="257" t="s">
        <v>430</v>
      </c>
      <c r="T17" s="259"/>
      <c r="U17" s="259">
        <v>228.0</v>
      </c>
      <c r="V17" s="259"/>
      <c r="W17" s="257"/>
      <c r="X17" s="257"/>
      <c r="Y17" s="259"/>
      <c r="Z17" s="257"/>
      <c r="AA17" s="257"/>
      <c r="AB17" s="257"/>
      <c r="AC17" s="257"/>
      <c r="AD17" s="257"/>
      <c r="AE17" s="259"/>
      <c r="AF17" s="259"/>
    </row>
    <row r="18" ht="15.75" customHeight="1">
      <c r="A18" s="257" t="s">
        <v>390</v>
      </c>
      <c r="B18" s="259">
        <v>1293.0</v>
      </c>
      <c r="C18" s="257">
        <v>0.0</v>
      </c>
      <c r="D18" s="257">
        <v>0.0</v>
      </c>
      <c r="E18" s="257">
        <v>0.0</v>
      </c>
      <c r="F18" s="257">
        <v>0.0</v>
      </c>
      <c r="G18" s="257">
        <v>0.0</v>
      </c>
      <c r="H18" s="257">
        <v>0.0</v>
      </c>
      <c r="I18" s="257">
        <v>0.0</v>
      </c>
      <c r="J18" s="257">
        <v>0.0</v>
      </c>
      <c r="K18" s="257">
        <v>0.0</v>
      </c>
      <c r="L18" s="257">
        <v>0.0</v>
      </c>
      <c r="M18" s="257">
        <v>0.0</v>
      </c>
      <c r="N18" s="257">
        <v>0.0</v>
      </c>
      <c r="S18" s="257" t="s">
        <v>431</v>
      </c>
      <c r="T18" s="259"/>
      <c r="U18" s="259">
        <v>0.0</v>
      </c>
      <c r="V18" s="259"/>
      <c r="W18" s="257"/>
      <c r="X18" s="257"/>
      <c r="Y18" s="259"/>
      <c r="Z18" s="257"/>
      <c r="AA18" s="257"/>
      <c r="AB18" s="257"/>
      <c r="AC18" s="257"/>
      <c r="AD18" s="257"/>
      <c r="AE18" s="259"/>
      <c r="AF18" s="259"/>
    </row>
    <row r="19" ht="15.75" customHeight="1">
      <c r="A19" s="257" t="s">
        <v>453</v>
      </c>
      <c r="B19" s="259" t="s">
        <v>223</v>
      </c>
      <c r="C19" s="257">
        <v>250.0</v>
      </c>
      <c r="D19" s="257">
        <v>250.0</v>
      </c>
      <c r="E19" s="257">
        <v>0.0</v>
      </c>
      <c r="F19" s="257">
        <v>293.0</v>
      </c>
      <c r="G19" s="257">
        <v>500.0</v>
      </c>
      <c r="H19" s="257">
        <v>376.0</v>
      </c>
      <c r="I19" s="257">
        <v>250.0</v>
      </c>
      <c r="J19" s="257">
        <v>500.0</v>
      </c>
      <c r="K19" s="257">
        <v>250.0</v>
      </c>
      <c r="L19" s="260">
        <v>500.0</v>
      </c>
      <c r="M19" s="260">
        <v>500.0</v>
      </c>
      <c r="N19" s="260">
        <v>500.0</v>
      </c>
      <c r="S19" s="257" t="s">
        <v>433</v>
      </c>
      <c r="T19" s="259"/>
      <c r="U19" s="259">
        <v>0.0</v>
      </c>
      <c r="V19" s="259"/>
      <c r="W19" s="257"/>
      <c r="X19" s="257"/>
      <c r="Y19" s="259"/>
      <c r="Z19" s="257"/>
      <c r="AA19" s="257"/>
      <c r="AB19" s="257"/>
      <c r="AC19" s="260"/>
      <c r="AD19" s="260"/>
      <c r="AE19" s="261"/>
      <c r="AF19" s="259"/>
    </row>
    <row r="20" ht="15.75" customHeight="1">
      <c r="A20" s="257" t="s">
        <v>454</v>
      </c>
      <c r="B20" s="259" t="s">
        <v>223</v>
      </c>
      <c r="C20" s="257">
        <v>200.0</v>
      </c>
      <c r="D20" s="257">
        <v>0.0</v>
      </c>
      <c r="E20" s="257">
        <v>140.0</v>
      </c>
      <c r="F20" s="257">
        <v>140.0</v>
      </c>
      <c r="G20" s="257">
        <v>140.0</v>
      </c>
      <c r="H20" s="257">
        <v>140.0</v>
      </c>
      <c r="I20" s="257">
        <v>180.0</v>
      </c>
      <c r="J20" s="257">
        <v>180.0</v>
      </c>
      <c r="K20" s="257">
        <v>200.0</v>
      </c>
      <c r="L20" s="257">
        <v>200.0</v>
      </c>
      <c r="M20" s="257">
        <v>200.0</v>
      </c>
      <c r="N20" s="257">
        <v>200.0</v>
      </c>
      <c r="S20" s="262" t="s">
        <v>434</v>
      </c>
      <c r="T20" s="259"/>
      <c r="U20" s="259">
        <v>0.0</v>
      </c>
      <c r="V20" s="259"/>
      <c r="W20" s="257"/>
      <c r="X20" s="257"/>
      <c r="Y20" s="259"/>
      <c r="Z20" s="257"/>
      <c r="AA20" s="257"/>
      <c r="AB20" s="257"/>
      <c r="AC20" s="257"/>
      <c r="AD20" s="257"/>
      <c r="AE20" s="259"/>
      <c r="AF20" s="259"/>
    </row>
    <row r="21" ht="15.75" customHeight="1">
      <c r="A21" s="257" t="s">
        <v>228</v>
      </c>
      <c r="B21" s="259" t="s">
        <v>223</v>
      </c>
      <c r="C21" s="257">
        <v>217.0</v>
      </c>
      <c r="D21" s="257">
        <v>223.0</v>
      </c>
      <c r="E21" s="257">
        <v>230.0</v>
      </c>
      <c r="F21" s="257">
        <v>203.0</v>
      </c>
      <c r="G21" s="257">
        <v>188.0</v>
      </c>
      <c r="H21" s="257">
        <v>194.0</v>
      </c>
      <c r="I21" s="257">
        <v>211.0</v>
      </c>
      <c r="J21" s="257">
        <v>237.0</v>
      </c>
      <c r="K21" s="257">
        <v>213.0</v>
      </c>
      <c r="L21" s="257">
        <v>198.0</v>
      </c>
      <c r="M21" s="257">
        <v>189.0</v>
      </c>
      <c r="N21" s="257">
        <v>179.0</v>
      </c>
      <c r="S21" s="257"/>
      <c r="T21" s="259"/>
      <c r="U21" s="259"/>
      <c r="V21" s="259"/>
      <c r="W21" s="257"/>
      <c r="X21" s="257"/>
      <c r="Y21" s="259"/>
      <c r="Z21" s="257"/>
      <c r="AA21" s="257"/>
      <c r="AB21" s="257"/>
      <c r="AC21" s="257"/>
      <c r="AD21" s="257"/>
      <c r="AE21" s="259"/>
      <c r="AF21" s="259"/>
    </row>
    <row r="22" ht="15.75" customHeight="1">
      <c r="A22" s="257" t="s">
        <v>393</v>
      </c>
      <c r="B22" s="259">
        <v>0.0</v>
      </c>
      <c r="C22" s="257">
        <v>2250.0</v>
      </c>
      <c r="D22" s="257">
        <v>1100.0</v>
      </c>
      <c r="E22" s="257">
        <v>800.0</v>
      </c>
      <c r="F22" s="257">
        <v>850.0</v>
      </c>
      <c r="G22" s="257">
        <v>890.0</v>
      </c>
      <c r="H22" s="257">
        <v>1000.0</v>
      </c>
      <c r="I22" s="257">
        <v>1000.0</v>
      </c>
      <c r="J22" s="257">
        <v>1000.0</v>
      </c>
      <c r="K22" s="257">
        <v>1350.0</v>
      </c>
      <c r="L22" s="257">
        <v>1250.0</v>
      </c>
      <c r="M22" s="257">
        <v>1150.0</v>
      </c>
      <c r="N22" s="257">
        <v>1500.0</v>
      </c>
      <c r="S22" s="257"/>
      <c r="T22" s="259"/>
      <c r="U22" s="259"/>
      <c r="V22" s="259"/>
      <c r="W22" s="257"/>
      <c r="X22" s="257"/>
      <c r="Y22" s="257"/>
      <c r="Z22" s="257"/>
      <c r="AA22" s="257"/>
      <c r="AB22" s="257"/>
      <c r="AC22" s="257"/>
      <c r="AD22" s="257"/>
      <c r="AE22" s="259"/>
      <c r="AF22" s="259"/>
    </row>
    <row r="23" ht="15.75" customHeight="1">
      <c r="A23" s="257" t="s">
        <v>455</v>
      </c>
      <c r="B23" s="259" t="s">
        <v>223</v>
      </c>
      <c r="C23" s="259">
        <v>40.0</v>
      </c>
      <c r="D23" s="257">
        <v>252.0</v>
      </c>
      <c r="E23" s="257">
        <v>0.0</v>
      </c>
      <c r="F23" s="257">
        <v>500.0</v>
      </c>
      <c r="G23" s="257">
        <v>500.0</v>
      </c>
      <c r="H23" s="257">
        <v>500.0</v>
      </c>
      <c r="I23" s="257">
        <v>500.0</v>
      </c>
      <c r="J23" s="257">
        <v>500.0</v>
      </c>
      <c r="K23" s="257">
        <v>500.0</v>
      </c>
      <c r="L23" s="257">
        <v>550.0</v>
      </c>
      <c r="M23" s="257">
        <v>1050.0</v>
      </c>
      <c r="N23" s="257">
        <v>550.0</v>
      </c>
      <c r="S23" s="257" t="s">
        <v>33</v>
      </c>
      <c r="T23" s="259"/>
      <c r="U23" s="259">
        <f t="shared" ref="U23:AF23" si="4">Sum(U16:U21)</f>
        <v>528</v>
      </c>
      <c r="V23" s="259">
        <f t="shared" si="4"/>
        <v>0</v>
      </c>
      <c r="W23" s="257">
        <f t="shared" si="4"/>
        <v>0</v>
      </c>
      <c r="X23" s="259">
        <f t="shared" si="4"/>
        <v>0</v>
      </c>
      <c r="Y23" s="259">
        <f t="shared" si="4"/>
        <v>0</v>
      </c>
      <c r="Z23" s="259">
        <f t="shared" si="4"/>
        <v>0</v>
      </c>
      <c r="AA23" s="259">
        <f t="shared" si="4"/>
        <v>0</v>
      </c>
      <c r="AB23" s="259">
        <f t="shared" si="4"/>
        <v>0</v>
      </c>
      <c r="AC23" s="259">
        <f t="shared" si="4"/>
        <v>0</v>
      </c>
      <c r="AD23" s="259">
        <f t="shared" si="4"/>
        <v>0</v>
      </c>
      <c r="AE23" s="259">
        <f t="shared" si="4"/>
        <v>0</v>
      </c>
      <c r="AF23" s="259">
        <f t="shared" si="4"/>
        <v>0</v>
      </c>
    </row>
    <row r="24" ht="15.75" customHeight="1">
      <c r="A24" s="257" t="s">
        <v>436</v>
      </c>
      <c r="B24" s="259" t="s">
        <v>223</v>
      </c>
      <c r="C24" s="259">
        <v>0.0</v>
      </c>
      <c r="D24" s="257">
        <v>0.0</v>
      </c>
      <c r="E24" s="257">
        <v>0.0</v>
      </c>
      <c r="F24" s="257">
        <v>0.0</v>
      </c>
      <c r="G24" s="257">
        <v>0.0</v>
      </c>
      <c r="H24" s="257">
        <v>0.0</v>
      </c>
      <c r="I24" s="257">
        <v>0.0</v>
      </c>
      <c r="J24" s="257">
        <v>0.0</v>
      </c>
      <c r="K24" s="257">
        <v>0.0</v>
      </c>
      <c r="L24" s="257">
        <v>0.0</v>
      </c>
      <c r="M24" s="257">
        <v>0.0</v>
      </c>
      <c r="N24" s="257">
        <v>0.0</v>
      </c>
      <c r="S24" s="257"/>
      <c r="T24" s="259"/>
      <c r="U24" s="259"/>
      <c r="V24" s="259"/>
      <c r="W24" s="257"/>
      <c r="X24" s="259"/>
      <c r="Y24" s="259"/>
      <c r="Z24" s="259"/>
      <c r="AA24" s="259"/>
      <c r="AB24" s="259"/>
      <c r="AC24" s="259"/>
      <c r="AD24" s="259"/>
      <c r="AE24" s="259"/>
      <c r="AF24" s="259"/>
    </row>
    <row r="25" ht="15.75" customHeight="1">
      <c r="A25" s="257" t="s">
        <v>437</v>
      </c>
      <c r="B25" s="259">
        <v>2500.0</v>
      </c>
      <c r="C25" s="257">
        <v>100.0</v>
      </c>
      <c r="D25" s="257">
        <v>0.0</v>
      </c>
      <c r="E25" s="257">
        <v>0.0</v>
      </c>
      <c r="F25" s="257">
        <v>0.0</v>
      </c>
      <c r="G25" s="257">
        <v>188.0</v>
      </c>
      <c r="H25" s="257">
        <v>225.0</v>
      </c>
      <c r="I25" s="257">
        <v>170.0</v>
      </c>
      <c r="J25" s="257">
        <v>0.0</v>
      </c>
      <c r="K25" s="257">
        <v>170.0</v>
      </c>
      <c r="L25" s="257">
        <v>0.0</v>
      </c>
      <c r="M25" s="257">
        <v>110.0</v>
      </c>
      <c r="N25" s="257">
        <v>40.0</v>
      </c>
      <c r="S25" s="257" t="s">
        <v>73</v>
      </c>
      <c r="T25" s="259"/>
      <c r="U25" s="259">
        <f t="shared" ref="U25:AF25" si="5">U15-U23</f>
        <v>-528</v>
      </c>
      <c r="V25" s="259">
        <f t="shared" si="5"/>
        <v>0</v>
      </c>
      <c r="W25" s="257">
        <f t="shared" si="5"/>
        <v>0</v>
      </c>
      <c r="X25" s="257">
        <f t="shared" si="5"/>
        <v>0</v>
      </c>
      <c r="Y25" s="257">
        <f t="shared" si="5"/>
        <v>0</v>
      </c>
      <c r="Z25" s="257">
        <f t="shared" si="5"/>
        <v>0</v>
      </c>
      <c r="AA25" s="257">
        <f t="shared" si="5"/>
        <v>0</v>
      </c>
      <c r="AB25" s="257">
        <f t="shared" si="5"/>
        <v>0</v>
      </c>
      <c r="AC25" s="257">
        <f t="shared" si="5"/>
        <v>0</v>
      </c>
      <c r="AD25" s="257">
        <f t="shared" si="5"/>
        <v>0</v>
      </c>
      <c r="AE25" s="257">
        <f t="shared" si="5"/>
        <v>0</v>
      </c>
      <c r="AF25" s="257">
        <f t="shared" si="5"/>
        <v>0</v>
      </c>
    </row>
    <row r="26" ht="15.75" customHeight="1">
      <c r="A26" s="257" t="s">
        <v>244</v>
      </c>
      <c r="B26" s="259">
        <f>B11</f>
        <v>0</v>
      </c>
      <c r="C26" s="257">
        <v>116.0</v>
      </c>
      <c r="D26" s="257">
        <v>0.0</v>
      </c>
      <c r="E26" s="257">
        <v>0.0</v>
      </c>
      <c r="F26" s="257">
        <v>121.0</v>
      </c>
      <c r="G26" s="259">
        <v>200.0</v>
      </c>
      <c r="H26" s="257">
        <v>142.0</v>
      </c>
      <c r="I26" s="259">
        <v>159.0</v>
      </c>
      <c r="J26" s="259">
        <v>66.0</v>
      </c>
      <c r="K26" s="257">
        <v>184.0</v>
      </c>
      <c r="L26" s="257">
        <v>191.0</v>
      </c>
      <c r="M26" s="257">
        <v>194.0</v>
      </c>
      <c r="N26" s="257">
        <v>144.0</v>
      </c>
      <c r="S26" s="257"/>
      <c r="T26" s="259"/>
      <c r="U26" s="257"/>
      <c r="V26" s="259"/>
      <c r="W26" s="259"/>
      <c r="X26" s="257"/>
      <c r="Y26" s="257"/>
      <c r="Z26" s="257"/>
      <c r="AA26" s="257"/>
      <c r="AB26" s="257"/>
      <c r="AC26" s="257"/>
      <c r="AD26" s="257"/>
      <c r="AE26" s="259"/>
      <c r="AF26" s="259"/>
    </row>
    <row r="27" ht="15.75" customHeight="1">
      <c r="A27" s="257" t="s">
        <v>438</v>
      </c>
      <c r="B27" s="259"/>
      <c r="C27" s="257">
        <v>0.0</v>
      </c>
      <c r="D27" s="257">
        <v>0.0</v>
      </c>
      <c r="E27" s="257">
        <v>0.0</v>
      </c>
      <c r="F27" s="257">
        <v>360.0</v>
      </c>
      <c r="G27" s="257">
        <v>0.0</v>
      </c>
      <c r="H27" s="257">
        <v>16.0</v>
      </c>
      <c r="I27" s="259">
        <v>66.0</v>
      </c>
      <c r="J27" s="257">
        <v>0.0</v>
      </c>
      <c r="K27" s="257">
        <v>75.0</v>
      </c>
      <c r="L27" s="257">
        <v>458.0</v>
      </c>
      <c r="M27" s="257">
        <v>99.0</v>
      </c>
      <c r="N27" s="257">
        <v>53.0</v>
      </c>
      <c r="S27" s="257"/>
      <c r="T27" s="259"/>
      <c r="U27" s="257"/>
      <c r="V27" s="259"/>
      <c r="W27" s="259"/>
      <c r="X27" s="257"/>
      <c r="Y27" s="257"/>
      <c r="Z27" s="257"/>
      <c r="AA27" s="257"/>
      <c r="AB27" s="257"/>
      <c r="AC27" s="257"/>
      <c r="AD27" s="257"/>
      <c r="AE27" s="259"/>
      <c r="AF27" s="259"/>
    </row>
    <row r="28" ht="15.75" customHeight="1">
      <c r="A28" s="231" t="s">
        <v>33</v>
      </c>
      <c r="B28" s="243">
        <f>Sum(B3,B4,B17)</f>
        <v>277316</v>
      </c>
      <c r="C28" s="231">
        <f t="shared" ref="C28:N28" si="6">Sum(C16:C27)</f>
        <v>4004</v>
      </c>
      <c r="D28" s="231">
        <f t="shared" si="6"/>
        <v>2656</v>
      </c>
      <c r="E28" s="231">
        <f t="shared" si="6"/>
        <v>2001</v>
      </c>
      <c r="F28" s="231">
        <f t="shared" si="6"/>
        <v>3298</v>
      </c>
      <c r="G28" s="231">
        <f t="shared" si="6"/>
        <v>3437</v>
      </c>
      <c r="H28" s="231">
        <f t="shared" si="6"/>
        <v>3424</v>
      </c>
      <c r="I28" s="231">
        <f t="shared" si="6"/>
        <v>3367</v>
      </c>
      <c r="J28" s="231">
        <f t="shared" si="6"/>
        <v>3314</v>
      </c>
      <c r="K28" s="231">
        <f t="shared" si="6"/>
        <v>3773</v>
      </c>
      <c r="L28" s="231">
        <f t="shared" si="6"/>
        <v>4178</v>
      </c>
      <c r="M28" s="231">
        <f t="shared" si="6"/>
        <v>4323</v>
      </c>
      <c r="N28" s="243">
        <f t="shared" si="6"/>
        <v>3997</v>
      </c>
      <c r="S28" s="231"/>
      <c r="T28" s="243"/>
      <c r="U28" s="231"/>
      <c r="V28" s="231"/>
      <c r="W28" s="231"/>
      <c r="X28" s="231"/>
      <c r="Y28" s="231"/>
      <c r="Z28" s="231"/>
      <c r="AA28" s="231"/>
      <c r="AB28" s="231"/>
      <c r="AC28" s="231"/>
      <c r="AD28" s="231"/>
      <c r="AE28" s="243"/>
      <c r="AF28" s="243"/>
    </row>
    <row r="29" ht="15.75" customHeight="1">
      <c r="A29" s="263" t="s">
        <v>118</v>
      </c>
      <c r="B29" s="263"/>
      <c r="C29" s="263">
        <f t="shared" ref="C29:N29" si="7">C13+C28</f>
        <v>8256</v>
      </c>
      <c r="D29" s="263">
        <f t="shared" si="7"/>
        <v>7236</v>
      </c>
      <c r="E29" s="264">
        <f t="shared" si="7"/>
        <v>4623</v>
      </c>
      <c r="F29" s="263">
        <f t="shared" si="7"/>
        <v>6892</v>
      </c>
      <c r="G29" s="263">
        <f t="shared" si="7"/>
        <v>7633</v>
      </c>
      <c r="H29" s="263">
        <f t="shared" si="7"/>
        <v>8062</v>
      </c>
      <c r="I29" s="263">
        <f t="shared" si="7"/>
        <v>6798</v>
      </c>
      <c r="J29" s="263">
        <f t="shared" si="7"/>
        <v>7261</v>
      </c>
      <c r="K29" s="263">
        <f t="shared" si="7"/>
        <v>8526</v>
      </c>
      <c r="L29" s="263">
        <f t="shared" si="7"/>
        <v>7961</v>
      </c>
      <c r="M29" s="264">
        <f t="shared" si="7"/>
        <v>8387</v>
      </c>
      <c r="N29" s="264">
        <f t="shared" si="7"/>
        <v>7670</v>
      </c>
      <c r="S29" s="263"/>
      <c r="T29" s="263"/>
      <c r="U29" s="263"/>
      <c r="V29" s="263"/>
      <c r="W29" s="263"/>
      <c r="X29" s="263"/>
      <c r="Y29" s="263"/>
      <c r="Z29" s="263"/>
      <c r="AA29" s="263"/>
      <c r="AB29" s="263"/>
      <c r="AC29" s="263"/>
      <c r="AD29" s="263"/>
      <c r="AE29" s="264"/>
      <c r="AF29" s="263"/>
    </row>
    <row r="30" ht="15.75" customHeight="1">
      <c r="A30" s="265"/>
      <c r="B30" s="265"/>
      <c r="C30" s="265"/>
      <c r="D30" s="265"/>
      <c r="E30" s="265"/>
      <c r="F30" s="265"/>
      <c r="G30" s="265"/>
      <c r="H30" s="265"/>
      <c r="I30" s="265"/>
      <c r="J30" s="167"/>
      <c r="K30" s="265"/>
      <c r="L30" s="265"/>
      <c r="M30" s="265"/>
      <c r="N30" s="167"/>
    </row>
    <row r="31" ht="15.75" customHeight="1"/>
    <row r="32" ht="15.75" customHeight="1">
      <c r="A32" s="22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</row>
    <row r="33" ht="15.75" customHeight="1"/>
    <row r="34" ht="15.75" customHeight="1"/>
    <row r="35" ht="15.75" customHeight="1">
      <c r="A35" s="244" t="s">
        <v>456</v>
      </c>
      <c r="B35" s="244" t="s">
        <v>35</v>
      </c>
      <c r="C35" s="244" t="s">
        <v>0</v>
      </c>
      <c r="D35" s="244" t="s">
        <v>1</v>
      </c>
      <c r="E35" s="244" t="s">
        <v>2</v>
      </c>
      <c r="F35" s="244" t="s">
        <v>3</v>
      </c>
      <c r="G35" s="244" t="s">
        <v>4</v>
      </c>
      <c r="H35" s="244" t="s">
        <v>5</v>
      </c>
      <c r="I35" s="244" t="s">
        <v>6</v>
      </c>
      <c r="J35" s="244" t="s">
        <v>7</v>
      </c>
      <c r="K35" s="244" t="s">
        <v>8</v>
      </c>
      <c r="L35" s="244" t="s">
        <v>9</v>
      </c>
      <c r="M35" s="244" t="s">
        <v>10</v>
      </c>
      <c r="N35" s="244" t="s">
        <v>11</v>
      </c>
    </row>
    <row r="36" ht="15.75" customHeight="1">
      <c r="A36" s="244"/>
      <c r="B36" s="244"/>
      <c r="C36" s="244"/>
      <c r="D36" s="244"/>
      <c r="E36" s="244"/>
      <c r="F36" s="244"/>
      <c r="G36" s="244"/>
      <c r="H36" s="244"/>
      <c r="I36" s="244"/>
      <c r="J36" s="244"/>
      <c r="K36" s="244"/>
      <c r="L36" s="244"/>
      <c r="M36" s="244"/>
      <c r="N36" s="244"/>
    </row>
    <row r="37" ht="15.75" customHeight="1">
      <c r="A37" s="244" t="s">
        <v>399</v>
      </c>
      <c r="B37" s="244">
        <v>20500.0</v>
      </c>
      <c r="C37" s="245">
        <v>20000.0</v>
      </c>
      <c r="D37" s="245">
        <v>19500.0</v>
      </c>
      <c r="E37" s="245">
        <v>19000.0</v>
      </c>
      <c r="F37" s="245">
        <v>18500.0</v>
      </c>
      <c r="G37" s="245">
        <v>18000.0</v>
      </c>
      <c r="H37" s="244">
        <v>17850.0</v>
      </c>
      <c r="I37" s="245">
        <v>17000.0</v>
      </c>
      <c r="J37" s="244">
        <v>16500.0</v>
      </c>
      <c r="K37" s="245">
        <v>16000.0</v>
      </c>
      <c r="L37" s="244">
        <v>16190.0</v>
      </c>
      <c r="M37" s="245">
        <v>15500.0</v>
      </c>
      <c r="N37" s="245">
        <v>14500.0</v>
      </c>
    </row>
    <row r="38" ht="15.75" customHeight="1">
      <c r="A38" s="244" t="s">
        <v>401</v>
      </c>
      <c r="B38" s="244">
        <v>13583.0</v>
      </c>
      <c r="C38" s="245">
        <v>13463.0</v>
      </c>
      <c r="D38" s="245"/>
      <c r="E38" s="245"/>
      <c r="F38" s="245"/>
      <c r="G38" s="245"/>
      <c r="H38" s="244">
        <v>13000.0</v>
      </c>
      <c r="I38" s="245"/>
      <c r="J38" s="244"/>
      <c r="K38" s="245"/>
      <c r="L38" s="245">
        <v>12423.0</v>
      </c>
      <c r="M38" s="245"/>
      <c r="N38" s="245"/>
    </row>
    <row r="39" ht="15.75" customHeight="1">
      <c r="A39" s="244" t="s">
        <v>403</v>
      </c>
      <c r="B39" s="244">
        <v>1408.0</v>
      </c>
      <c r="C39" s="245">
        <v>1395.0</v>
      </c>
      <c r="D39" s="245"/>
      <c r="E39" s="245"/>
      <c r="F39" s="245"/>
      <c r="G39" s="245"/>
      <c r="H39" s="244">
        <v>1350.0</v>
      </c>
      <c r="I39" s="245"/>
      <c r="J39" s="244"/>
      <c r="K39" s="245"/>
      <c r="L39" s="245">
        <v>1288.0</v>
      </c>
      <c r="M39" s="245"/>
      <c r="N39" s="245"/>
    </row>
    <row r="40" ht="15.75" customHeight="1">
      <c r="A40" s="244" t="s">
        <v>287</v>
      </c>
      <c r="B40" s="244">
        <v>0.0</v>
      </c>
      <c r="C40" s="245">
        <v>0.0</v>
      </c>
      <c r="D40" s="245">
        <v>0.0</v>
      </c>
      <c r="E40" s="245">
        <v>0.0</v>
      </c>
      <c r="F40" s="245">
        <v>0.0</v>
      </c>
      <c r="G40" s="245">
        <v>0.0</v>
      </c>
      <c r="H40" s="244">
        <v>0.0</v>
      </c>
      <c r="I40" s="245">
        <v>0.0</v>
      </c>
      <c r="J40" s="244">
        <v>0.0</v>
      </c>
      <c r="K40" s="245">
        <v>0.0</v>
      </c>
      <c r="L40" s="245">
        <v>0.0</v>
      </c>
      <c r="M40" s="245">
        <v>0.0</v>
      </c>
      <c r="N40" s="245">
        <v>0.0</v>
      </c>
    </row>
    <row r="41" ht="15.75" customHeight="1">
      <c r="A41" s="246" t="s">
        <v>457</v>
      </c>
      <c r="B41" s="244">
        <v>6000.0</v>
      </c>
      <c r="C41" s="244">
        <v>8000.0</v>
      </c>
      <c r="D41" s="244">
        <v>7000.0</v>
      </c>
      <c r="E41" s="245">
        <v>7000.0</v>
      </c>
      <c r="F41" s="245">
        <v>6000.0</v>
      </c>
      <c r="G41" s="245">
        <v>5000.0</v>
      </c>
      <c r="H41" s="244">
        <v>4215.0</v>
      </c>
      <c r="I41" s="245">
        <v>4000.0</v>
      </c>
      <c r="J41" s="244">
        <v>4500.0</v>
      </c>
      <c r="K41" s="245">
        <v>3500.0</v>
      </c>
      <c r="L41" s="245">
        <v>4250.0</v>
      </c>
      <c r="M41" s="245">
        <v>3250.0</v>
      </c>
      <c r="N41" s="245">
        <v>1750.0</v>
      </c>
    </row>
    <row r="42" ht="15.75" customHeight="1">
      <c r="A42" s="246" t="s">
        <v>289</v>
      </c>
      <c r="B42" s="244">
        <v>0.0</v>
      </c>
      <c r="C42" s="245">
        <v>0.0</v>
      </c>
      <c r="D42" s="245">
        <v>0.0</v>
      </c>
      <c r="E42" s="245">
        <v>0.0</v>
      </c>
      <c r="F42" s="245">
        <v>0.0</v>
      </c>
      <c r="G42" s="245">
        <v>0.0</v>
      </c>
      <c r="H42" s="244">
        <v>0.0</v>
      </c>
      <c r="I42" s="245">
        <v>0.0</v>
      </c>
      <c r="J42" s="244">
        <v>0.0</v>
      </c>
      <c r="K42" s="245">
        <v>0.0</v>
      </c>
      <c r="L42" s="245">
        <v>0.0</v>
      </c>
      <c r="M42" s="245">
        <v>0.0</v>
      </c>
      <c r="N42" s="245">
        <v>0.0</v>
      </c>
    </row>
    <row r="43" ht="15.75" customHeight="1">
      <c r="A43" s="244" t="s">
        <v>288</v>
      </c>
      <c r="B43" s="244">
        <v>10000.0</v>
      </c>
      <c r="C43" s="245">
        <v>9750.0</v>
      </c>
      <c r="D43" s="245">
        <v>9000.0</v>
      </c>
      <c r="E43" s="245">
        <v>9000.0</v>
      </c>
      <c r="F43" s="245">
        <v>8000.0</v>
      </c>
      <c r="G43" s="245">
        <v>7000.0</v>
      </c>
      <c r="H43" s="244">
        <v>9450.0</v>
      </c>
      <c r="I43" s="245">
        <v>9250.0</v>
      </c>
      <c r="J43" s="244">
        <v>9500.0</v>
      </c>
      <c r="K43" s="245">
        <v>8750.0</v>
      </c>
      <c r="L43" s="245">
        <v>9350.0</v>
      </c>
      <c r="M43" s="245">
        <v>9386.0</v>
      </c>
      <c r="N43" s="245">
        <v>0.0</v>
      </c>
    </row>
    <row r="44" ht="15.75" customHeight="1">
      <c r="A44" s="244" t="s">
        <v>458</v>
      </c>
      <c r="B44" s="244">
        <v>13500.0</v>
      </c>
      <c r="C44" s="245">
        <v>13000.0</v>
      </c>
      <c r="D44" s="245">
        <v>12750.0</v>
      </c>
      <c r="E44" s="245">
        <v>12500.0</v>
      </c>
      <c r="F44" s="245">
        <v>12250.0</v>
      </c>
      <c r="G44" s="245">
        <v>12000.0</v>
      </c>
      <c r="H44" s="244">
        <v>12000.0</v>
      </c>
      <c r="I44" s="245">
        <v>11800.0</v>
      </c>
      <c r="J44" s="244">
        <v>11400.0</v>
      </c>
      <c r="K44" s="245">
        <v>11200.0</v>
      </c>
      <c r="L44" s="245">
        <v>11000.0</v>
      </c>
      <c r="M44" s="245">
        <v>10800.0</v>
      </c>
      <c r="N44" s="245">
        <v>10600.0</v>
      </c>
    </row>
    <row r="45" ht="15.75" customHeight="1">
      <c r="A45" s="244"/>
      <c r="B45" s="244"/>
      <c r="C45" s="244"/>
      <c r="D45" s="244"/>
      <c r="E45" s="245"/>
      <c r="F45" s="244"/>
      <c r="G45" s="244"/>
      <c r="H45" s="244"/>
      <c r="I45" s="245"/>
      <c r="J45" s="244"/>
      <c r="K45" s="245"/>
      <c r="L45" s="245"/>
      <c r="M45" s="245"/>
      <c r="N45" s="245"/>
    </row>
    <row r="46" ht="15.75" customHeight="1">
      <c r="A46" s="247" t="s">
        <v>291</v>
      </c>
      <c r="B46" s="247">
        <f t="shared" ref="B46:N46" si="8">Sum(B36:B45)</f>
        <v>64991</v>
      </c>
      <c r="C46" s="247">
        <f t="shared" si="8"/>
        <v>65608</v>
      </c>
      <c r="D46" s="266">
        <f t="shared" si="8"/>
        <v>48250</v>
      </c>
      <c r="E46" s="266">
        <f t="shared" si="8"/>
        <v>47500</v>
      </c>
      <c r="F46" s="266">
        <f t="shared" si="8"/>
        <v>44750</v>
      </c>
      <c r="G46" s="266">
        <f t="shared" si="8"/>
        <v>42000</v>
      </c>
      <c r="H46" s="247">
        <f t="shared" si="8"/>
        <v>57865</v>
      </c>
      <c r="I46" s="266">
        <f t="shared" si="8"/>
        <v>42050</v>
      </c>
      <c r="J46" s="247">
        <f t="shared" si="8"/>
        <v>41900</v>
      </c>
      <c r="K46" s="266">
        <f t="shared" si="8"/>
        <v>39450</v>
      </c>
      <c r="L46" s="266">
        <f t="shared" si="8"/>
        <v>54501</v>
      </c>
      <c r="M46" s="266">
        <f t="shared" si="8"/>
        <v>38936</v>
      </c>
      <c r="N46" s="266">
        <f t="shared" si="8"/>
        <v>26850</v>
      </c>
    </row>
    <row r="47" ht="15.75" customHeight="1"/>
    <row r="48" ht="15.75" customHeight="1">
      <c r="J48" s="130"/>
    </row>
    <row r="49" ht="15.75" customHeight="1"/>
    <row r="50" ht="15.75" customHeight="1"/>
    <row r="51" ht="15.75" customHeight="1"/>
    <row r="52" ht="15.75" customHeight="1">
      <c r="A52" s="247" t="s">
        <v>459</v>
      </c>
      <c r="B52" s="247" t="s">
        <v>35</v>
      </c>
      <c r="C52" s="247" t="s">
        <v>0</v>
      </c>
      <c r="D52" s="247" t="s">
        <v>1</v>
      </c>
      <c r="E52" s="247" t="s">
        <v>2</v>
      </c>
      <c r="F52" s="247" t="s">
        <v>3</v>
      </c>
      <c r="G52" s="247" t="s">
        <v>4</v>
      </c>
      <c r="H52" s="247" t="s">
        <v>5</v>
      </c>
      <c r="I52" s="247" t="s">
        <v>6</v>
      </c>
      <c r="J52" s="247" t="s">
        <v>7</v>
      </c>
      <c r="K52" s="247" t="s">
        <v>8</v>
      </c>
      <c r="L52" s="247" t="s">
        <v>9</v>
      </c>
      <c r="M52" s="247" t="s">
        <v>10</v>
      </c>
      <c r="N52" s="247" t="s">
        <v>11</v>
      </c>
    </row>
    <row r="53" ht="15.75" customHeight="1">
      <c r="A53" s="247"/>
      <c r="B53" s="247"/>
      <c r="C53" s="247"/>
      <c r="D53" s="247"/>
      <c r="E53" s="247"/>
      <c r="F53" s="247"/>
      <c r="G53" s="247"/>
      <c r="H53" s="247"/>
      <c r="I53" s="247"/>
      <c r="J53" s="247"/>
      <c r="K53" s="247"/>
      <c r="L53" s="247"/>
      <c r="M53" s="247"/>
      <c r="N53" s="247"/>
    </row>
    <row r="54" ht="15.75" customHeight="1">
      <c r="A54" s="247" t="s">
        <v>460</v>
      </c>
      <c r="B54" s="247">
        <v>0.0</v>
      </c>
      <c r="C54" s="267"/>
      <c r="D54" s="267"/>
      <c r="E54" s="267"/>
      <c r="F54" s="267"/>
      <c r="G54" s="267"/>
      <c r="H54" s="267"/>
      <c r="I54" s="267"/>
      <c r="J54" s="267"/>
      <c r="K54" s="267"/>
      <c r="L54" s="267"/>
      <c r="M54" s="267"/>
      <c r="N54" s="267"/>
    </row>
    <row r="55" ht="15.75" customHeight="1">
      <c r="A55" s="268" t="s">
        <v>291</v>
      </c>
      <c r="B55" s="268">
        <f>Sum(B53:B54)</f>
        <v>0</v>
      </c>
      <c r="C55" s="268"/>
      <c r="D55" s="268"/>
      <c r="E55" s="268"/>
      <c r="F55" s="268"/>
      <c r="G55" s="268"/>
      <c r="H55" s="268"/>
      <c r="I55" s="268"/>
      <c r="J55" s="268"/>
      <c r="K55" s="268"/>
      <c r="L55" s="268"/>
      <c r="M55" s="268"/>
      <c r="N55" s="268"/>
    </row>
    <row r="56" ht="15.75" customHeight="1"/>
    <row r="57" ht="15.75" customHeight="1"/>
    <row r="58" ht="15.75" customHeight="1"/>
    <row r="59" ht="15.75" customHeight="1">
      <c r="A59" s="269" t="s">
        <v>461</v>
      </c>
      <c r="B59" s="269" t="s">
        <v>462</v>
      </c>
      <c r="C59" s="269" t="s">
        <v>0</v>
      </c>
      <c r="D59" s="269" t="s">
        <v>1</v>
      </c>
      <c r="E59" s="269" t="s">
        <v>2</v>
      </c>
      <c r="F59" s="269" t="s">
        <v>3</v>
      </c>
      <c r="G59" s="269" t="s">
        <v>4</v>
      </c>
      <c r="H59" s="269" t="s">
        <v>5</v>
      </c>
      <c r="I59" s="269" t="s">
        <v>6</v>
      </c>
      <c r="J59" s="269" t="s">
        <v>7</v>
      </c>
      <c r="K59" s="269" t="s">
        <v>8</v>
      </c>
      <c r="L59" s="269" t="s">
        <v>9</v>
      </c>
      <c r="M59" s="269" t="s">
        <v>10</v>
      </c>
      <c r="N59" s="269" t="s">
        <v>11</v>
      </c>
    </row>
    <row r="60" ht="15.75" customHeight="1">
      <c r="A60" s="270"/>
      <c r="B60" s="270"/>
      <c r="C60" s="270"/>
      <c r="D60" s="270"/>
      <c r="E60" s="270"/>
      <c r="F60" s="270"/>
      <c r="G60" s="270"/>
      <c r="H60" s="270"/>
      <c r="I60" s="270"/>
      <c r="J60" s="270"/>
      <c r="K60" s="270"/>
      <c r="L60" s="270"/>
      <c r="M60" s="270"/>
      <c r="N60" s="270"/>
    </row>
    <row r="61" ht="15.75" customHeight="1">
      <c r="A61" s="270" t="s">
        <v>463</v>
      </c>
      <c r="B61" s="270">
        <v>1350.0</v>
      </c>
      <c r="C61" s="270">
        <v>150.0</v>
      </c>
      <c r="D61" s="270">
        <v>150.0</v>
      </c>
      <c r="E61" s="270">
        <v>150.0</v>
      </c>
      <c r="F61" s="270">
        <v>0.0</v>
      </c>
      <c r="G61" s="270">
        <v>0.0</v>
      </c>
      <c r="H61" s="270">
        <v>0.0</v>
      </c>
      <c r="I61" s="270">
        <v>150.0</v>
      </c>
      <c r="J61" s="270">
        <v>150.0</v>
      </c>
      <c r="K61" s="270">
        <v>150.0</v>
      </c>
      <c r="L61" s="270">
        <v>150.0</v>
      </c>
      <c r="M61" s="270">
        <v>150.0</v>
      </c>
      <c r="N61" s="270">
        <v>150.0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>
      <c r="A80" s="130" t="s">
        <v>464</v>
      </c>
    </row>
    <row r="81" ht="15.75" customHeight="1">
      <c r="A81" s="130" t="s">
        <v>465</v>
      </c>
    </row>
    <row r="82" ht="15.75" customHeight="1">
      <c r="A82" s="130" t="s">
        <v>466</v>
      </c>
    </row>
    <row r="83" ht="15.75" customHeight="1">
      <c r="A83" s="130" t="s">
        <v>467</v>
      </c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6.0"/>
    <col customWidth="1" min="2" max="2" width="12.5"/>
    <col customWidth="1" min="3" max="3" width="6.5"/>
    <col customWidth="1" min="4" max="4" width="6.75"/>
    <col customWidth="1" min="5" max="5" width="7.5"/>
    <col customWidth="1" min="6" max="6" width="6.88"/>
    <col customWidth="1" min="7" max="7" width="6.38"/>
    <col customWidth="1" min="8" max="8" width="6.13"/>
    <col customWidth="1" min="9" max="9" width="5.63"/>
    <col customWidth="1" min="10" max="10" width="6.38"/>
    <col customWidth="1" min="11" max="11" width="6.25"/>
    <col customWidth="1" min="12" max="12" width="6.0"/>
    <col customWidth="1" min="13" max="14" width="6.25"/>
    <col customWidth="1" min="15" max="26" width="15.13"/>
  </cols>
  <sheetData>
    <row r="1" ht="15.75" customHeight="1">
      <c r="A1" s="271" t="s">
        <v>468</v>
      </c>
      <c r="B1" s="272" t="s">
        <v>71</v>
      </c>
      <c r="C1" s="272" t="s">
        <v>469</v>
      </c>
      <c r="D1" s="272" t="s">
        <v>470</v>
      </c>
      <c r="E1" s="272" t="s">
        <v>471</v>
      </c>
      <c r="F1" s="272" t="s">
        <v>472</v>
      </c>
      <c r="G1" s="272" t="s">
        <v>473</v>
      </c>
      <c r="H1" s="272" t="s">
        <v>474</v>
      </c>
      <c r="I1" s="272" t="s">
        <v>475</v>
      </c>
      <c r="J1" s="272" t="s">
        <v>476</v>
      </c>
      <c r="K1" s="272" t="s">
        <v>477</v>
      </c>
      <c r="L1" s="272" t="s">
        <v>478</v>
      </c>
      <c r="M1" s="272" t="s">
        <v>479</v>
      </c>
      <c r="N1" s="196" t="s">
        <v>480</v>
      </c>
    </row>
    <row r="2" ht="15.75" customHeight="1">
      <c r="A2" s="195"/>
      <c r="B2" s="196"/>
      <c r="C2" s="196">
        <v>4546.0</v>
      </c>
      <c r="D2" s="196">
        <v>4494.0</v>
      </c>
      <c r="E2" s="196">
        <v>3856.0</v>
      </c>
      <c r="F2" s="196">
        <v>3627.0</v>
      </c>
      <c r="G2" s="196">
        <v>4317.0</v>
      </c>
      <c r="H2" s="196">
        <v>4035.0</v>
      </c>
      <c r="I2" s="196">
        <v>3800.0</v>
      </c>
      <c r="J2" s="196">
        <v>4200.0</v>
      </c>
      <c r="K2" s="196">
        <v>4062.0</v>
      </c>
      <c r="L2" s="196">
        <v>3851.0</v>
      </c>
      <c r="M2" s="196">
        <v>4405.0</v>
      </c>
      <c r="N2" s="196">
        <v>4111.0</v>
      </c>
    </row>
    <row r="3" ht="15.75" customHeight="1">
      <c r="A3" s="196" t="s">
        <v>481</v>
      </c>
      <c r="B3" s="197">
        <v>254270.0</v>
      </c>
      <c r="C3" s="196">
        <v>630.0</v>
      </c>
      <c r="D3" s="196">
        <v>630.0</v>
      </c>
      <c r="E3" s="196">
        <v>630.0</v>
      </c>
      <c r="F3" s="196">
        <v>630.0</v>
      </c>
      <c r="G3" s="196">
        <v>630.0</v>
      </c>
      <c r="H3" s="196">
        <v>630.0</v>
      </c>
      <c r="I3" s="196">
        <v>630.0</v>
      </c>
      <c r="J3" s="196">
        <v>630.0</v>
      </c>
      <c r="K3" s="196">
        <v>630.0</v>
      </c>
      <c r="L3" s="196">
        <v>630.0</v>
      </c>
      <c r="M3" s="196">
        <v>630.0</v>
      </c>
      <c r="N3" s="196">
        <v>630.0</v>
      </c>
    </row>
    <row r="4" ht="15.75" customHeight="1">
      <c r="A4" s="196" t="s">
        <v>482</v>
      </c>
      <c r="B4" s="197">
        <v>20460.0</v>
      </c>
      <c r="C4" s="196">
        <v>460.0</v>
      </c>
      <c r="D4" s="196">
        <v>460.0</v>
      </c>
      <c r="E4" s="196">
        <v>460.0</v>
      </c>
      <c r="F4" s="196">
        <v>460.0</v>
      </c>
      <c r="G4" s="196">
        <v>460.0</v>
      </c>
      <c r="H4" s="196">
        <v>460.0</v>
      </c>
      <c r="I4" s="196">
        <v>460.0</v>
      </c>
      <c r="J4" s="196">
        <v>460.0</v>
      </c>
      <c r="K4" s="196">
        <v>460.0</v>
      </c>
      <c r="L4" s="196">
        <v>460.0</v>
      </c>
      <c r="M4" s="196">
        <v>460.0</v>
      </c>
      <c r="N4" s="196">
        <v>460.0</v>
      </c>
    </row>
    <row r="5" ht="15.75" customHeight="1">
      <c r="A5" s="196" t="s">
        <v>483</v>
      </c>
      <c r="B5" s="197" t="s">
        <v>223</v>
      </c>
      <c r="C5" s="196">
        <v>245.0</v>
      </c>
      <c r="D5" s="196">
        <v>245.0</v>
      </c>
      <c r="E5" s="196">
        <v>245.0</v>
      </c>
      <c r="F5" s="196">
        <v>42.0</v>
      </c>
      <c r="G5" s="196">
        <v>240.0</v>
      </c>
      <c r="H5" s="196">
        <v>240.0</v>
      </c>
      <c r="I5" s="196">
        <v>240.0</v>
      </c>
      <c r="J5" s="196">
        <v>240.0</v>
      </c>
      <c r="K5" s="196">
        <v>240.0</v>
      </c>
      <c r="L5" s="196">
        <v>240.0</v>
      </c>
      <c r="M5" s="196">
        <v>240.0</v>
      </c>
      <c r="N5" s="196">
        <v>240.0</v>
      </c>
    </row>
    <row r="6" ht="15.75" customHeight="1">
      <c r="A6" s="196" t="s">
        <v>484</v>
      </c>
      <c r="B6" s="197" t="s">
        <v>223</v>
      </c>
      <c r="C6" s="196">
        <v>640.0</v>
      </c>
      <c r="D6" s="196">
        <v>250.0</v>
      </c>
      <c r="E6" s="196">
        <v>250.0</v>
      </c>
      <c r="F6" s="196">
        <v>250.0</v>
      </c>
      <c r="G6" s="196">
        <v>250.0</v>
      </c>
      <c r="H6" s="196">
        <v>250.0</v>
      </c>
      <c r="I6" s="196">
        <v>250.0</v>
      </c>
      <c r="J6" s="196">
        <v>250.0</v>
      </c>
      <c r="K6" s="196">
        <v>250.0</v>
      </c>
      <c r="L6" s="196">
        <v>250.0</v>
      </c>
      <c r="M6" s="196">
        <v>250.0</v>
      </c>
      <c r="N6" s="196">
        <v>250.0</v>
      </c>
    </row>
    <row r="7" ht="15.75" customHeight="1">
      <c r="A7" s="196" t="s">
        <v>485</v>
      </c>
      <c r="B7" s="197" t="s">
        <v>223</v>
      </c>
      <c r="C7" s="196">
        <v>70.0</v>
      </c>
      <c r="D7" s="196">
        <v>600.0</v>
      </c>
      <c r="E7" s="196">
        <v>500.0</v>
      </c>
      <c r="F7" s="196">
        <v>500.0</v>
      </c>
      <c r="G7" s="196">
        <v>500.0</v>
      </c>
      <c r="H7" s="196">
        <v>500.0</v>
      </c>
      <c r="I7" s="197">
        <v>500.0</v>
      </c>
      <c r="J7" s="196">
        <v>500.0</v>
      </c>
      <c r="K7" s="196">
        <v>0.0</v>
      </c>
      <c r="L7" s="196">
        <v>0.0</v>
      </c>
      <c r="M7" s="196">
        <v>0.0</v>
      </c>
      <c r="N7" s="196">
        <v>0.0</v>
      </c>
    </row>
    <row r="8" ht="15.75" customHeight="1">
      <c r="A8" s="196" t="s">
        <v>486</v>
      </c>
      <c r="B8" s="197">
        <v>0.0</v>
      </c>
      <c r="C8" s="196">
        <v>1500.0</v>
      </c>
      <c r="D8" s="196">
        <v>1700.0</v>
      </c>
      <c r="E8" s="196">
        <v>1500.0</v>
      </c>
      <c r="F8" s="196">
        <v>850.0</v>
      </c>
      <c r="G8" s="196">
        <v>1000.0</v>
      </c>
      <c r="H8" s="196">
        <v>1500.0</v>
      </c>
      <c r="I8" s="196">
        <v>1500.0</v>
      </c>
      <c r="J8" s="196">
        <v>1750.0</v>
      </c>
      <c r="K8" s="196">
        <v>1750.0</v>
      </c>
      <c r="L8" s="196">
        <v>1500.0</v>
      </c>
      <c r="M8" s="196">
        <v>1750.0</v>
      </c>
      <c r="N8" s="196">
        <v>1500.0</v>
      </c>
    </row>
    <row r="9" ht="15.75" customHeight="1">
      <c r="A9" s="196" t="s">
        <v>487</v>
      </c>
      <c r="B9" s="197" t="s">
        <v>223</v>
      </c>
      <c r="C9" s="196">
        <v>0.0</v>
      </c>
      <c r="D9" s="196">
        <v>0.0</v>
      </c>
      <c r="E9" s="196">
        <v>0.0</v>
      </c>
      <c r="F9" s="196">
        <v>0.0</v>
      </c>
      <c r="G9" s="196">
        <v>0.0</v>
      </c>
      <c r="H9" s="196">
        <v>100.0</v>
      </c>
      <c r="I9" s="196">
        <v>0.0</v>
      </c>
      <c r="J9" s="196">
        <v>0.0</v>
      </c>
      <c r="K9" s="196">
        <v>0.0</v>
      </c>
      <c r="L9" s="196">
        <v>0.0</v>
      </c>
      <c r="M9" s="196">
        <v>100.0</v>
      </c>
      <c r="N9" s="196">
        <v>100.0</v>
      </c>
    </row>
    <row r="10" ht="15.75" customHeight="1">
      <c r="A10" s="196" t="s">
        <v>488</v>
      </c>
      <c r="B10" s="197">
        <v>6500.0</v>
      </c>
      <c r="C10" s="196">
        <v>0.0</v>
      </c>
      <c r="D10" s="196">
        <v>0.0</v>
      </c>
      <c r="E10" s="196">
        <v>0.0</v>
      </c>
      <c r="F10" s="196">
        <v>0.0</v>
      </c>
      <c r="G10" s="196">
        <v>0.0</v>
      </c>
      <c r="H10" s="196">
        <v>0.0</v>
      </c>
      <c r="I10" s="196">
        <v>0.0</v>
      </c>
      <c r="J10" s="196">
        <v>0.0</v>
      </c>
      <c r="K10" s="196">
        <v>540.0</v>
      </c>
      <c r="L10" s="196">
        <v>700.0</v>
      </c>
      <c r="M10" s="196">
        <v>850.0</v>
      </c>
      <c r="N10" s="196">
        <v>0.0</v>
      </c>
    </row>
    <row r="11" ht="15.75" customHeight="1">
      <c r="A11" s="196" t="s">
        <v>489</v>
      </c>
      <c r="B11" s="197">
        <v>0.0</v>
      </c>
      <c r="C11" s="196">
        <v>87.0</v>
      </c>
      <c r="D11" s="196">
        <v>198.0</v>
      </c>
      <c r="E11" s="196">
        <v>68.0</v>
      </c>
      <c r="F11" s="196">
        <v>50.0</v>
      </c>
      <c r="G11" s="196">
        <v>205.0</v>
      </c>
      <c r="H11" s="196">
        <v>9.0</v>
      </c>
      <c r="I11" s="196">
        <v>0.0</v>
      </c>
      <c r="J11" s="196">
        <v>0.0</v>
      </c>
      <c r="K11" s="196">
        <v>71.0</v>
      </c>
      <c r="L11" s="196">
        <v>0.0</v>
      </c>
      <c r="M11" s="196">
        <v>0.0</v>
      </c>
      <c r="N11" s="196">
        <v>845.0</v>
      </c>
    </row>
    <row r="12" ht="15.75" customHeight="1">
      <c r="A12" s="273" t="s">
        <v>33</v>
      </c>
      <c r="B12" s="274">
        <f>Sum(B3,B4,B16)</f>
        <v>288662</v>
      </c>
      <c r="C12" s="273">
        <f t="shared" ref="C12:N12" si="1">Sum(C3:C11)</f>
        <v>3632</v>
      </c>
      <c r="D12" s="273">
        <f t="shared" si="1"/>
        <v>4083</v>
      </c>
      <c r="E12" s="273">
        <f t="shared" si="1"/>
        <v>3653</v>
      </c>
      <c r="F12" s="273">
        <f t="shared" si="1"/>
        <v>2782</v>
      </c>
      <c r="G12" s="273">
        <f t="shared" si="1"/>
        <v>3285</v>
      </c>
      <c r="H12" s="273">
        <f t="shared" si="1"/>
        <v>3689</v>
      </c>
      <c r="I12" s="273">
        <f t="shared" si="1"/>
        <v>3580</v>
      </c>
      <c r="J12" s="273">
        <f t="shared" si="1"/>
        <v>3830</v>
      </c>
      <c r="K12" s="273">
        <f t="shared" si="1"/>
        <v>3941</v>
      </c>
      <c r="L12" s="273">
        <f t="shared" si="1"/>
        <v>3780</v>
      </c>
      <c r="M12" s="273">
        <f t="shared" si="1"/>
        <v>4280</v>
      </c>
      <c r="N12" s="273">
        <f t="shared" si="1"/>
        <v>4025</v>
      </c>
    </row>
    <row r="13" ht="15.75" customHeight="1">
      <c r="A13" s="275" t="s">
        <v>490</v>
      </c>
      <c r="B13" s="204" t="s">
        <v>71</v>
      </c>
      <c r="C13" s="204" t="s">
        <v>491</v>
      </c>
      <c r="D13" s="204" t="s">
        <v>492</v>
      </c>
      <c r="E13" s="204" t="s">
        <v>493</v>
      </c>
      <c r="F13" s="204" t="s">
        <v>494</v>
      </c>
      <c r="G13" s="204" t="s">
        <v>495</v>
      </c>
      <c r="H13" s="204" t="s">
        <v>496</v>
      </c>
      <c r="I13" s="204" t="s">
        <v>497</v>
      </c>
      <c r="J13" s="204" t="s">
        <v>498</v>
      </c>
      <c r="K13" s="204" t="s">
        <v>499</v>
      </c>
      <c r="L13" s="204" t="s">
        <v>500</v>
      </c>
      <c r="M13" s="204" t="s">
        <v>501</v>
      </c>
      <c r="N13" s="204" t="s">
        <v>502</v>
      </c>
    </row>
    <row r="14" ht="15.75" customHeight="1">
      <c r="A14" s="275"/>
      <c r="B14" s="204"/>
      <c r="C14" s="204">
        <v>5275.0</v>
      </c>
      <c r="D14" s="204">
        <v>3966.0</v>
      </c>
      <c r="E14" s="204">
        <v>3450.0</v>
      </c>
      <c r="F14" s="204">
        <v>3450.0</v>
      </c>
      <c r="G14" s="204">
        <v>3000.0</v>
      </c>
      <c r="H14" s="204">
        <v>3333.0</v>
      </c>
      <c r="I14" s="204">
        <v>3000.0</v>
      </c>
      <c r="J14" s="204">
        <v>3588.0</v>
      </c>
      <c r="K14" s="204">
        <v>4096.0</v>
      </c>
      <c r="L14" s="204">
        <v>2910.0</v>
      </c>
      <c r="M14" s="204">
        <v>3042.0</v>
      </c>
      <c r="N14" s="204">
        <v>3795.0</v>
      </c>
    </row>
    <row r="15" ht="15.75" customHeight="1">
      <c r="A15" s="204" t="s">
        <v>481</v>
      </c>
      <c r="B15" s="276">
        <f>B3</f>
        <v>254270</v>
      </c>
      <c r="C15" s="204">
        <v>630.0</v>
      </c>
      <c r="D15" s="204">
        <v>630.0</v>
      </c>
      <c r="E15" s="204">
        <v>630.0</v>
      </c>
      <c r="F15" s="204">
        <v>630.0</v>
      </c>
      <c r="G15" s="204">
        <v>630.0</v>
      </c>
      <c r="H15" s="204">
        <v>630.0</v>
      </c>
      <c r="I15" s="204">
        <v>630.0</v>
      </c>
      <c r="J15" s="204">
        <v>630.0</v>
      </c>
      <c r="K15" s="204">
        <v>630.0</v>
      </c>
      <c r="L15" s="204">
        <v>630.0</v>
      </c>
      <c r="M15" s="204">
        <v>630.0</v>
      </c>
      <c r="N15" s="204">
        <v>630.0</v>
      </c>
    </row>
    <row r="16" ht="15.75" customHeight="1">
      <c r="A16" s="204" t="s">
        <v>503</v>
      </c>
      <c r="B16" s="276">
        <v>13932.0</v>
      </c>
      <c r="C16" s="204">
        <v>201.0</v>
      </c>
      <c r="D16" s="204">
        <v>201.0</v>
      </c>
      <c r="E16" s="204">
        <v>201.0</v>
      </c>
      <c r="F16" s="204">
        <v>201.0</v>
      </c>
      <c r="G16" s="204">
        <v>201.0</v>
      </c>
      <c r="H16" s="204">
        <v>201.0</v>
      </c>
      <c r="I16" s="204">
        <v>201.0</v>
      </c>
      <c r="J16" s="204">
        <v>201.0</v>
      </c>
      <c r="K16" s="204">
        <v>201.0</v>
      </c>
      <c r="L16" s="204">
        <v>201.0</v>
      </c>
      <c r="M16" s="204">
        <v>201.0</v>
      </c>
      <c r="N16" s="204">
        <v>201.0</v>
      </c>
    </row>
    <row r="17" ht="15.75" customHeight="1">
      <c r="A17" s="204" t="s">
        <v>504</v>
      </c>
      <c r="B17" s="276">
        <v>1444.0</v>
      </c>
      <c r="C17" s="204">
        <v>0.0</v>
      </c>
      <c r="D17" s="204">
        <v>0.0</v>
      </c>
      <c r="E17" s="204">
        <v>0.0</v>
      </c>
      <c r="F17" s="204">
        <v>0.0</v>
      </c>
      <c r="G17" s="204">
        <v>0.0</v>
      </c>
      <c r="H17" s="204">
        <v>0.0</v>
      </c>
      <c r="I17" s="204">
        <v>0.0</v>
      </c>
      <c r="J17" s="204">
        <v>0.0</v>
      </c>
      <c r="K17" s="204">
        <v>0.0</v>
      </c>
      <c r="L17" s="204">
        <v>0.0</v>
      </c>
      <c r="M17" s="204">
        <v>0.0</v>
      </c>
      <c r="N17" s="204">
        <v>0.0</v>
      </c>
    </row>
    <row r="18" ht="15.75" customHeight="1">
      <c r="A18" s="204" t="s">
        <v>505</v>
      </c>
      <c r="B18" s="276" t="s">
        <v>223</v>
      </c>
      <c r="C18" s="204">
        <v>250.0</v>
      </c>
      <c r="D18" s="204">
        <v>250.0</v>
      </c>
      <c r="E18" s="204">
        <v>250.0</v>
      </c>
      <c r="F18" s="204">
        <v>250.0</v>
      </c>
      <c r="G18" s="204">
        <v>250.0</v>
      </c>
      <c r="H18" s="204">
        <v>250.0</v>
      </c>
      <c r="I18" s="204">
        <v>250.0</v>
      </c>
      <c r="J18" s="204">
        <v>250.0</v>
      </c>
      <c r="K18" s="202">
        <v>250.0</v>
      </c>
      <c r="L18" s="202">
        <v>250.0</v>
      </c>
      <c r="M18" s="202">
        <v>250.0</v>
      </c>
      <c r="N18" s="202">
        <v>250.0</v>
      </c>
    </row>
    <row r="19" ht="15.75" customHeight="1">
      <c r="A19" s="204" t="s">
        <v>506</v>
      </c>
      <c r="B19" s="276" t="s">
        <v>223</v>
      </c>
      <c r="C19" s="204">
        <v>1000.0</v>
      </c>
      <c r="D19" s="204">
        <v>600.0</v>
      </c>
      <c r="E19" s="204">
        <v>600.0</v>
      </c>
      <c r="F19" s="204">
        <v>600.0</v>
      </c>
      <c r="G19" s="204">
        <v>620.0</v>
      </c>
      <c r="H19" s="204">
        <v>670.0</v>
      </c>
      <c r="I19" s="204">
        <v>620.0</v>
      </c>
      <c r="J19" s="204">
        <v>100.0</v>
      </c>
      <c r="K19" s="204">
        <v>120.0</v>
      </c>
      <c r="L19" s="204">
        <v>200.0</v>
      </c>
      <c r="M19" s="204">
        <v>180.0</v>
      </c>
      <c r="N19" s="204">
        <v>200.0</v>
      </c>
    </row>
    <row r="20" ht="15.75" customHeight="1">
      <c r="A20" s="204" t="s">
        <v>507</v>
      </c>
      <c r="B20" s="276" t="s">
        <v>223</v>
      </c>
      <c r="C20" s="204">
        <v>233.0</v>
      </c>
      <c r="D20" s="204">
        <v>171.0</v>
      </c>
      <c r="E20" s="204">
        <v>200.0</v>
      </c>
      <c r="F20" s="204">
        <v>189.0</v>
      </c>
      <c r="G20" s="204">
        <v>188.0</v>
      </c>
      <c r="H20" s="204">
        <v>182.0</v>
      </c>
      <c r="I20" s="204">
        <v>207.0</v>
      </c>
      <c r="J20" s="204">
        <v>234.0</v>
      </c>
      <c r="K20" s="204">
        <v>216.0</v>
      </c>
      <c r="L20" s="204">
        <v>198.0</v>
      </c>
      <c r="M20" s="204">
        <v>188.0</v>
      </c>
      <c r="N20" s="204">
        <v>195.0</v>
      </c>
    </row>
    <row r="21" ht="15.75" customHeight="1">
      <c r="A21" s="204" t="s">
        <v>486</v>
      </c>
      <c r="B21" s="276">
        <v>0.0</v>
      </c>
      <c r="C21" s="204">
        <v>1500.0</v>
      </c>
      <c r="D21" s="204">
        <v>750.0</v>
      </c>
      <c r="E21" s="204">
        <v>1200.0</v>
      </c>
      <c r="F21" s="204">
        <v>1250.0</v>
      </c>
      <c r="G21" s="204">
        <v>750.0</v>
      </c>
      <c r="H21" s="204">
        <v>1000.0</v>
      </c>
      <c r="I21" s="204">
        <v>1000.0</v>
      </c>
      <c r="J21" s="204">
        <v>1500.0</v>
      </c>
      <c r="K21" s="204">
        <v>2000.0</v>
      </c>
      <c r="L21" s="204">
        <v>1000.0</v>
      </c>
      <c r="M21" s="204">
        <v>1250.0</v>
      </c>
      <c r="N21" s="204">
        <v>2000.0</v>
      </c>
    </row>
    <row r="22" ht="15.75" customHeight="1">
      <c r="A22" s="204" t="s">
        <v>487</v>
      </c>
      <c r="B22" s="276" t="s">
        <v>223</v>
      </c>
      <c r="C22" s="204">
        <v>100.0</v>
      </c>
      <c r="D22" s="204">
        <v>100.0</v>
      </c>
      <c r="E22" s="204">
        <v>170.0</v>
      </c>
      <c r="F22" s="204">
        <v>135.0</v>
      </c>
      <c r="G22" s="204">
        <v>305.0</v>
      </c>
      <c r="H22" s="204">
        <v>320.0</v>
      </c>
      <c r="I22" s="204">
        <v>220.0</v>
      </c>
      <c r="J22" s="204">
        <v>220.0</v>
      </c>
      <c r="K22" s="204">
        <v>250.0</v>
      </c>
      <c r="L22" s="204">
        <v>120.0</v>
      </c>
      <c r="M22" s="204">
        <v>120.0</v>
      </c>
      <c r="N22" s="204">
        <v>0.0</v>
      </c>
    </row>
    <row r="23" ht="15.75" customHeight="1">
      <c r="A23" s="204" t="s">
        <v>488</v>
      </c>
      <c r="B23" s="276">
        <f t="shared" ref="B23:B24" si="2">B10</f>
        <v>6500</v>
      </c>
      <c r="C23" s="204">
        <v>0.0</v>
      </c>
      <c r="D23" s="204">
        <v>0.0</v>
      </c>
      <c r="E23" s="204">
        <v>0.0</v>
      </c>
      <c r="F23" s="204">
        <v>0.0</v>
      </c>
      <c r="G23" s="204">
        <v>0.0</v>
      </c>
      <c r="H23" s="204">
        <v>0.0</v>
      </c>
      <c r="I23" s="204">
        <v>0.0</v>
      </c>
      <c r="J23" s="204">
        <v>250.0</v>
      </c>
      <c r="K23" s="204">
        <v>500.0</v>
      </c>
      <c r="L23" s="204">
        <v>0.0</v>
      </c>
      <c r="M23" s="204">
        <v>0.0</v>
      </c>
      <c r="N23" s="204">
        <v>0.0</v>
      </c>
    </row>
    <row r="24" ht="15.75" customHeight="1">
      <c r="A24" s="204" t="s">
        <v>508</v>
      </c>
      <c r="B24" s="276">
        <f t="shared" si="2"/>
        <v>0</v>
      </c>
      <c r="C24" s="204">
        <v>0.0</v>
      </c>
      <c r="D24" s="204">
        <v>500.0</v>
      </c>
      <c r="E24" s="204">
        <v>16.0</v>
      </c>
      <c r="F24" s="204">
        <v>40.0</v>
      </c>
      <c r="G24" s="204">
        <v>85.0</v>
      </c>
      <c r="H24" s="204">
        <v>0.0</v>
      </c>
      <c r="I24" s="204">
        <v>0.0</v>
      </c>
      <c r="J24" s="204">
        <v>84.0</v>
      </c>
      <c r="K24" s="204">
        <v>0.0</v>
      </c>
      <c r="L24" s="204">
        <v>65.0</v>
      </c>
      <c r="M24" s="204">
        <v>148.0</v>
      </c>
      <c r="N24" s="204">
        <v>225.0</v>
      </c>
    </row>
    <row r="25" ht="15.75" customHeight="1">
      <c r="A25" s="191" t="s">
        <v>33</v>
      </c>
      <c r="B25" s="192">
        <f>Sum(B3,B4,B16)</f>
        <v>288662</v>
      </c>
      <c r="C25" s="191">
        <f t="shared" ref="C25:N25" si="3">Sum(C15:C24)</f>
        <v>3914</v>
      </c>
      <c r="D25" s="191">
        <f t="shared" si="3"/>
        <v>3202</v>
      </c>
      <c r="E25" s="191">
        <f t="shared" si="3"/>
        <v>3267</v>
      </c>
      <c r="F25" s="191">
        <f t="shared" si="3"/>
        <v>3295</v>
      </c>
      <c r="G25" s="191">
        <f t="shared" si="3"/>
        <v>3029</v>
      </c>
      <c r="H25" s="191">
        <f t="shared" si="3"/>
        <v>3253</v>
      </c>
      <c r="I25" s="191">
        <f t="shared" si="3"/>
        <v>3128</v>
      </c>
      <c r="J25" s="191">
        <f t="shared" si="3"/>
        <v>3469</v>
      </c>
      <c r="K25" s="191">
        <f t="shared" si="3"/>
        <v>4167</v>
      </c>
      <c r="L25" s="191">
        <f t="shared" si="3"/>
        <v>2664</v>
      </c>
      <c r="M25" s="191">
        <f t="shared" si="3"/>
        <v>2967</v>
      </c>
      <c r="N25" s="191">
        <f t="shared" si="3"/>
        <v>3701</v>
      </c>
    </row>
    <row r="26" ht="15.75" customHeight="1">
      <c r="A26" s="265" t="s">
        <v>118</v>
      </c>
      <c r="B26" s="265"/>
      <c r="C26" s="265">
        <f t="shared" ref="C26:N26" si="4">C12+C25</f>
        <v>7546</v>
      </c>
      <c r="D26" s="265">
        <f t="shared" si="4"/>
        <v>7285</v>
      </c>
      <c r="E26" s="265">
        <f t="shared" si="4"/>
        <v>6920</v>
      </c>
      <c r="F26" s="265">
        <f t="shared" si="4"/>
        <v>6077</v>
      </c>
      <c r="G26" s="265">
        <f t="shared" si="4"/>
        <v>6314</v>
      </c>
      <c r="H26" s="265">
        <f t="shared" si="4"/>
        <v>6942</v>
      </c>
      <c r="I26" s="265">
        <f t="shared" si="4"/>
        <v>6708</v>
      </c>
      <c r="J26" s="265">
        <f t="shared" si="4"/>
        <v>7299</v>
      </c>
      <c r="K26" s="265">
        <f t="shared" si="4"/>
        <v>8108</v>
      </c>
      <c r="L26" s="265">
        <f t="shared" si="4"/>
        <v>6444</v>
      </c>
      <c r="M26" s="265">
        <f t="shared" si="4"/>
        <v>7247</v>
      </c>
      <c r="N26" s="265">
        <f t="shared" si="4"/>
        <v>7726</v>
      </c>
    </row>
    <row r="27" ht="15.75" customHeight="1">
      <c r="A27" s="265"/>
      <c r="B27" s="265"/>
      <c r="C27" s="265"/>
      <c r="D27" s="265"/>
      <c r="E27" s="265"/>
      <c r="F27" s="265"/>
      <c r="G27" s="265"/>
      <c r="H27" s="265"/>
      <c r="I27" s="265"/>
      <c r="J27" s="167"/>
      <c r="K27" s="265"/>
      <c r="L27" s="265"/>
      <c r="M27" s="265"/>
      <c r="N27" s="167"/>
    </row>
    <row r="28" ht="15.75" customHeight="1"/>
    <row r="29" ht="15.75" customHeight="1">
      <c r="A29" s="22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</row>
    <row r="30" ht="15.75" customHeight="1"/>
    <row r="31" ht="15.75" customHeight="1"/>
    <row r="32" ht="15.75" customHeight="1">
      <c r="A32" s="244" t="s">
        <v>509</v>
      </c>
      <c r="B32" s="244" t="s">
        <v>35</v>
      </c>
      <c r="C32" s="244" t="s">
        <v>0</v>
      </c>
      <c r="D32" s="244" t="s">
        <v>1</v>
      </c>
      <c r="E32" s="244" t="s">
        <v>2</v>
      </c>
      <c r="F32" s="244" t="s">
        <v>3</v>
      </c>
      <c r="G32" s="244" t="s">
        <v>4</v>
      </c>
      <c r="H32" s="244" t="s">
        <v>5</v>
      </c>
      <c r="I32" s="244" t="s">
        <v>6</v>
      </c>
      <c r="J32" s="244" t="s">
        <v>7</v>
      </c>
      <c r="K32" s="244" t="s">
        <v>8</v>
      </c>
      <c r="L32" s="244" t="s">
        <v>9</v>
      </c>
      <c r="M32" s="244" t="s">
        <v>10</v>
      </c>
      <c r="N32" s="244" t="s">
        <v>11</v>
      </c>
    </row>
    <row r="33" ht="15.75" customHeight="1">
      <c r="A33" s="244"/>
      <c r="B33" s="244"/>
      <c r="C33" s="244"/>
      <c r="D33" s="244"/>
      <c r="E33" s="244"/>
      <c r="F33" s="244"/>
      <c r="G33" s="244"/>
      <c r="H33" s="244"/>
      <c r="I33" s="244"/>
      <c r="J33" s="244"/>
      <c r="K33" s="244"/>
      <c r="L33" s="244"/>
      <c r="M33" s="244"/>
      <c r="N33" s="244"/>
    </row>
    <row r="34" ht="15.75" customHeight="1">
      <c r="A34" s="244" t="s">
        <v>399</v>
      </c>
      <c r="B34" s="244">
        <v>25600.0</v>
      </c>
      <c r="C34" s="244">
        <v>25098.0</v>
      </c>
      <c r="D34" s="245"/>
      <c r="E34" s="245"/>
      <c r="F34" s="245">
        <v>23906.0</v>
      </c>
      <c r="G34" s="245"/>
      <c r="H34" s="245"/>
      <c r="I34" s="245"/>
      <c r="J34" s="245">
        <v>22306.0</v>
      </c>
      <c r="K34" s="245">
        <v>21905.0</v>
      </c>
      <c r="L34" s="245">
        <v>21400.0</v>
      </c>
      <c r="M34" s="245"/>
      <c r="N34" s="245"/>
    </row>
    <row r="35" ht="15.75" customHeight="1">
      <c r="A35" s="244" t="s">
        <v>401</v>
      </c>
      <c r="B35" s="244">
        <v>14978.0</v>
      </c>
      <c r="C35" s="244">
        <v>14721.0</v>
      </c>
      <c r="D35" s="245"/>
      <c r="E35" s="245"/>
      <c r="F35" s="245">
        <v>14408.0</v>
      </c>
      <c r="G35" s="245"/>
      <c r="H35" s="245"/>
      <c r="I35" s="245"/>
      <c r="J35" s="245">
        <v>14007.0</v>
      </c>
      <c r="K35" s="245">
        <v>14017.0</v>
      </c>
      <c r="L35" s="245">
        <v>13932.0</v>
      </c>
      <c r="M35" s="245"/>
      <c r="N35" s="245"/>
    </row>
    <row r="36" ht="15.75" customHeight="1">
      <c r="A36" s="244" t="s">
        <v>403</v>
      </c>
      <c r="B36" s="244">
        <v>1552.0</v>
      </c>
      <c r="C36" s="244">
        <v>1526.0</v>
      </c>
      <c r="D36" s="245"/>
      <c r="E36" s="245"/>
      <c r="F36" s="245">
        <v>1493.0</v>
      </c>
      <c r="G36" s="245"/>
      <c r="H36" s="245"/>
      <c r="I36" s="245"/>
      <c r="J36" s="245">
        <v>1452.0</v>
      </c>
      <c r="K36" s="245">
        <v>1453.0</v>
      </c>
      <c r="L36" s="245">
        <v>1444.0</v>
      </c>
      <c r="M36" s="245"/>
      <c r="N36" s="245"/>
    </row>
    <row r="37" ht="15.75" customHeight="1">
      <c r="A37" s="244" t="s">
        <v>287</v>
      </c>
      <c r="B37" s="244">
        <v>0.0</v>
      </c>
      <c r="C37" s="244">
        <v>500.0</v>
      </c>
      <c r="D37" s="245">
        <v>0.0</v>
      </c>
      <c r="E37" s="245">
        <v>0.0</v>
      </c>
      <c r="F37" s="245">
        <v>0.0</v>
      </c>
      <c r="G37" s="245">
        <v>0.0</v>
      </c>
      <c r="H37" s="245">
        <v>2000.0</v>
      </c>
      <c r="I37" s="245">
        <v>0.0</v>
      </c>
      <c r="J37" s="245">
        <v>0.0</v>
      </c>
      <c r="K37" s="245">
        <v>0.0</v>
      </c>
      <c r="L37" s="245">
        <v>0.0</v>
      </c>
      <c r="M37" s="245">
        <v>0.0</v>
      </c>
      <c r="N37" s="245">
        <v>0.0</v>
      </c>
    </row>
    <row r="38" ht="15.75" customHeight="1">
      <c r="A38" s="246" t="s">
        <v>457</v>
      </c>
      <c r="B38" s="244">
        <v>5000.0</v>
      </c>
      <c r="C38" s="244">
        <v>8250.0</v>
      </c>
      <c r="D38" s="245">
        <v>7500.0</v>
      </c>
      <c r="E38" s="245">
        <v>6000.0</v>
      </c>
      <c r="F38" s="245">
        <v>7000.0</v>
      </c>
      <c r="G38" s="245">
        <v>5500.0</v>
      </c>
      <c r="H38" s="245">
        <v>7000.0</v>
      </c>
      <c r="I38" s="245">
        <v>6000.0</v>
      </c>
      <c r="J38" s="245">
        <v>8250.0</v>
      </c>
      <c r="K38" s="245">
        <v>7500.0</v>
      </c>
      <c r="L38" s="245">
        <v>7750.0</v>
      </c>
      <c r="M38" s="245">
        <v>4500.0</v>
      </c>
      <c r="N38" s="245">
        <v>3000.0</v>
      </c>
    </row>
    <row r="39" ht="15.75" customHeight="1">
      <c r="A39" s="246" t="s">
        <v>289</v>
      </c>
      <c r="B39" s="244">
        <v>0.0</v>
      </c>
      <c r="C39" s="244">
        <v>0.0</v>
      </c>
      <c r="D39" s="245">
        <v>0.0</v>
      </c>
      <c r="E39" s="245">
        <v>0.0</v>
      </c>
      <c r="F39" s="245">
        <v>0.0</v>
      </c>
      <c r="G39" s="245">
        <v>0.0</v>
      </c>
      <c r="H39" s="245">
        <v>0.0</v>
      </c>
      <c r="I39" s="245">
        <v>0.0</v>
      </c>
      <c r="J39" s="245">
        <v>0.0</v>
      </c>
      <c r="K39" s="245">
        <v>0.0</v>
      </c>
      <c r="L39" s="245">
        <v>0.0</v>
      </c>
      <c r="M39" s="245">
        <v>0.0</v>
      </c>
      <c r="N39" s="245">
        <v>0.0</v>
      </c>
    </row>
    <row r="40" ht="15.75" customHeight="1">
      <c r="A40" s="244" t="s">
        <v>288</v>
      </c>
      <c r="B40" s="244">
        <v>6000.0</v>
      </c>
      <c r="C40" s="244">
        <v>6500.0</v>
      </c>
      <c r="D40" s="245">
        <v>6000.0</v>
      </c>
      <c r="E40" s="245">
        <v>5000.0</v>
      </c>
      <c r="F40" s="245">
        <v>7500.0</v>
      </c>
      <c r="G40" s="245">
        <v>7000.0</v>
      </c>
      <c r="H40" s="245">
        <v>8500.0</v>
      </c>
      <c r="I40" s="245">
        <v>5000.0</v>
      </c>
      <c r="J40" s="245">
        <v>8000.0</v>
      </c>
      <c r="K40" s="245">
        <v>5000.0</v>
      </c>
      <c r="L40" s="245">
        <v>4000.0</v>
      </c>
      <c r="M40" s="245">
        <v>3000.0</v>
      </c>
      <c r="N40" s="245">
        <v>2000.0</v>
      </c>
    </row>
    <row r="41" ht="15.75" customHeight="1">
      <c r="A41" s="244" t="s">
        <v>458</v>
      </c>
      <c r="B41" s="244">
        <v>15000.0</v>
      </c>
      <c r="C41" s="244">
        <v>7500.0</v>
      </c>
      <c r="D41" s="245">
        <v>7500.0</v>
      </c>
      <c r="E41" s="245">
        <v>6500.0</v>
      </c>
      <c r="F41" s="245">
        <v>15000.0</v>
      </c>
      <c r="G41" s="245">
        <v>15000.0</v>
      </c>
      <c r="H41" s="245">
        <v>14750.0</v>
      </c>
      <c r="I41" s="245">
        <v>14500.0</v>
      </c>
      <c r="J41" s="245">
        <v>14250.0</v>
      </c>
      <c r="K41" s="245">
        <v>14000.0</v>
      </c>
      <c r="L41" s="245">
        <v>13750.0</v>
      </c>
      <c r="M41" s="245">
        <v>13500.0</v>
      </c>
      <c r="N41" s="245">
        <v>13000.0</v>
      </c>
    </row>
    <row r="42" ht="15.75" customHeight="1">
      <c r="A42" s="244"/>
      <c r="B42" s="244"/>
      <c r="C42" s="244"/>
      <c r="D42" s="244"/>
      <c r="E42" s="245"/>
      <c r="F42" s="244"/>
      <c r="G42" s="244"/>
      <c r="H42" s="244"/>
      <c r="I42" s="245"/>
      <c r="J42" s="245"/>
      <c r="K42" s="245"/>
      <c r="L42" s="245"/>
      <c r="M42" s="245"/>
      <c r="N42" s="245"/>
    </row>
    <row r="43" ht="15.75" customHeight="1">
      <c r="A43" s="247" t="s">
        <v>291</v>
      </c>
      <c r="B43" s="247">
        <f t="shared" ref="B43:N43" si="5">Sum(B33:B42)</f>
        <v>68130</v>
      </c>
      <c r="C43" s="247">
        <f t="shared" si="5"/>
        <v>64095</v>
      </c>
      <c r="D43" s="266">
        <f t="shared" si="5"/>
        <v>21000</v>
      </c>
      <c r="E43" s="266">
        <f t="shared" si="5"/>
        <v>17500</v>
      </c>
      <c r="F43" s="266">
        <f t="shared" si="5"/>
        <v>69307</v>
      </c>
      <c r="G43" s="266">
        <f t="shared" si="5"/>
        <v>27500</v>
      </c>
      <c r="H43" s="266">
        <f t="shared" si="5"/>
        <v>32250</v>
      </c>
      <c r="I43" s="266">
        <f t="shared" si="5"/>
        <v>25500</v>
      </c>
      <c r="J43" s="266">
        <f t="shared" si="5"/>
        <v>68265</v>
      </c>
      <c r="K43" s="266">
        <f t="shared" si="5"/>
        <v>63875</v>
      </c>
      <c r="L43" s="266">
        <f t="shared" si="5"/>
        <v>62276</v>
      </c>
      <c r="M43" s="266">
        <f t="shared" si="5"/>
        <v>21000</v>
      </c>
      <c r="N43" s="266">
        <f t="shared" si="5"/>
        <v>18000</v>
      </c>
    </row>
    <row r="44" ht="15.75" customHeight="1"/>
    <row r="45" ht="15.75" customHeight="1">
      <c r="J45" s="130"/>
    </row>
    <row r="46" ht="15.75" customHeight="1"/>
    <row r="47" ht="15.75" customHeight="1"/>
    <row r="48" ht="15.75" customHeight="1"/>
    <row r="49" ht="15.75" customHeight="1">
      <c r="A49" s="247" t="s">
        <v>510</v>
      </c>
      <c r="B49" s="247" t="s">
        <v>35</v>
      </c>
      <c r="C49" s="247" t="s">
        <v>0</v>
      </c>
      <c r="D49" s="247" t="s">
        <v>1</v>
      </c>
      <c r="E49" s="247" t="s">
        <v>2</v>
      </c>
      <c r="F49" s="247" t="s">
        <v>3</v>
      </c>
      <c r="G49" s="247" t="s">
        <v>4</v>
      </c>
      <c r="H49" s="247" t="s">
        <v>5</v>
      </c>
      <c r="I49" s="247" t="s">
        <v>6</v>
      </c>
      <c r="J49" s="247" t="s">
        <v>7</v>
      </c>
      <c r="K49" s="247" t="s">
        <v>8</v>
      </c>
      <c r="L49" s="247" t="s">
        <v>9</v>
      </c>
      <c r="M49" s="247" t="s">
        <v>10</v>
      </c>
      <c r="N49" s="247" t="s">
        <v>11</v>
      </c>
    </row>
    <row r="50" ht="15.75" customHeight="1">
      <c r="A50" s="247"/>
      <c r="B50" s="247"/>
      <c r="C50" s="247"/>
      <c r="D50" s="247"/>
      <c r="E50" s="247"/>
      <c r="F50" s="247"/>
      <c r="G50" s="247"/>
      <c r="H50" s="247"/>
      <c r="I50" s="247"/>
      <c r="J50" s="247"/>
      <c r="K50" s="247"/>
      <c r="L50" s="247"/>
      <c r="M50" s="247"/>
      <c r="N50" s="247"/>
    </row>
    <row r="51" ht="15.75" customHeight="1">
      <c r="A51" s="247" t="s">
        <v>511</v>
      </c>
      <c r="B51" s="247">
        <v>0.0</v>
      </c>
      <c r="C51" s="267"/>
      <c r="D51" s="267"/>
      <c r="E51" s="267"/>
      <c r="F51" s="267"/>
      <c r="G51" s="267"/>
      <c r="H51" s="267"/>
      <c r="I51" s="267"/>
      <c r="J51" s="267"/>
      <c r="K51" s="267"/>
      <c r="L51" s="267"/>
      <c r="M51" s="267"/>
      <c r="N51" s="267"/>
    </row>
    <row r="52" ht="15.75" customHeight="1">
      <c r="A52" s="247" t="s">
        <v>460</v>
      </c>
      <c r="B52" s="247">
        <v>0.0</v>
      </c>
      <c r="C52" s="267"/>
      <c r="D52" s="267"/>
      <c r="E52" s="267"/>
      <c r="F52" s="267"/>
      <c r="G52" s="267"/>
      <c r="H52" s="267"/>
      <c r="I52" s="267"/>
      <c r="J52" s="267"/>
      <c r="K52" s="267"/>
      <c r="L52" s="267"/>
      <c r="M52" s="267"/>
      <c r="N52" s="267"/>
    </row>
    <row r="53" ht="15.75" customHeight="1">
      <c r="A53" s="268" t="s">
        <v>291</v>
      </c>
      <c r="B53" s="268">
        <f>Sum(B50:B52)</f>
        <v>0</v>
      </c>
      <c r="C53" s="268"/>
      <c r="D53" s="268"/>
      <c r="E53" s="268"/>
      <c r="F53" s="268"/>
      <c r="G53" s="268"/>
      <c r="H53" s="268"/>
      <c r="I53" s="268"/>
      <c r="J53" s="268"/>
      <c r="K53" s="268"/>
      <c r="L53" s="268"/>
      <c r="M53" s="268"/>
      <c r="N53" s="268"/>
    </row>
    <row r="54" ht="15.75" customHeight="1"/>
    <row r="55" ht="15.75" customHeight="1"/>
    <row r="56" ht="15.75" customHeight="1"/>
    <row r="57" ht="15.75" customHeight="1">
      <c r="A57" s="277" t="s">
        <v>512</v>
      </c>
      <c r="B57" s="277"/>
      <c r="C57" s="277" t="s">
        <v>513</v>
      </c>
      <c r="D57" s="277" t="s">
        <v>514</v>
      </c>
      <c r="E57" s="277" t="s">
        <v>515</v>
      </c>
      <c r="F57" s="277" t="s">
        <v>494</v>
      </c>
      <c r="G57" s="277" t="s">
        <v>473</v>
      </c>
      <c r="H57" s="277" t="s">
        <v>474</v>
      </c>
      <c r="I57" s="277" t="s">
        <v>475</v>
      </c>
      <c r="J57" s="277" t="s">
        <v>476</v>
      </c>
      <c r="K57" s="277" t="s">
        <v>477</v>
      </c>
      <c r="L57" s="277" t="s">
        <v>478</v>
      </c>
      <c r="M57" s="277" t="s">
        <v>479</v>
      </c>
      <c r="N57" s="277" t="s">
        <v>480</v>
      </c>
    </row>
    <row r="58" ht="15.75" customHeight="1">
      <c r="A58" s="278"/>
      <c r="B58" s="278"/>
      <c r="C58" s="278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78"/>
    </row>
    <row r="59" ht="15.75" customHeight="1">
      <c r="A59" s="278" t="s">
        <v>516</v>
      </c>
      <c r="B59" s="278"/>
      <c r="C59" s="278"/>
      <c r="D59" s="278"/>
      <c r="E59" s="278"/>
      <c r="F59" s="278"/>
      <c r="G59" s="278"/>
      <c r="H59" s="278"/>
      <c r="I59" s="278"/>
      <c r="J59" s="278"/>
      <c r="K59" s="278"/>
      <c r="L59" s="278"/>
      <c r="M59" s="278"/>
      <c r="N59" s="278"/>
    </row>
    <row r="60" ht="15.75" customHeight="1">
      <c r="A60" s="278" t="s">
        <v>517</v>
      </c>
      <c r="B60" s="278"/>
      <c r="C60" s="278"/>
      <c r="D60" s="278"/>
      <c r="E60" s="278"/>
      <c r="F60" s="278"/>
      <c r="G60" s="278"/>
      <c r="H60" s="278"/>
      <c r="I60" s="278"/>
      <c r="J60" s="278"/>
      <c r="K60" s="278"/>
      <c r="L60" s="278"/>
      <c r="M60" s="278"/>
      <c r="N60" s="278"/>
    </row>
    <row r="61" ht="15.75" customHeight="1">
      <c r="A61" s="278" t="s">
        <v>518</v>
      </c>
      <c r="B61" s="278"/>
      <c r="C61" s="278">
        <v>4456.0</v>
      </c>
      <c r="D61" s="278"/>
      <c r="E61" s="278"/>
      <c r="F61" s="278"/>
      <c r="G61" s="278"/>
      <c r="H61" s="278"/>
      <c r="I61" s="278"/>
      <c r="J61" s="278"/>
      <c r="K61" s="278"/>
      <c r="L61" s="278"/>
      <c r="M61" s="278"/>
      <c r="N61" s="278"/>
    </row>
    <row r="62" ht="15.75" customHeight="1">
      <c r="A62" s="278" t="s">
        <v>519</v>
      </c>
      <c r="B62" s="278"/>
      <c r="C62" s="278"/>
      <c r="D62" s="278">
        <v>3819.24</v>
      </c>
      <c r="E62" s="278">
        <v>3506.27</v>
      </c>
      <c r="F62" s="278">
        <v>3462.46</v>
      </c>
      <c r="G62" s="278"/>
      <c r="H62" s="278"/>
      <c r="I62" s="278"/>
      <c r="J62" s="278"/>
      <c r="K62" s="278"/>
      <c r="L62" s="278"/>
      <c r="M62" s="278"/>
      <c r="N62" s="278"/>
    </row>
    <row r="63" ht="15.75" customHeight="1">
      <c r="A63" s="278" t="s">
        <v>520</v>
      </c>
      <c r="B63" s="278"/>
      <c r="C63" s="278"/>
      <c r="D63" s="278">
        <v>500.0</v>
      </c>
      <c r="E63" s="278">
        <v>250.0</v>
      </c>
      <c r="F63" s="278">
        <v>0.0</v>
      </c>
      <c r="G63" s="278"/>
      <c r="H63" s="278"/>
      <c r="I63" s="278"/>
      <c r="J63" s="278"/>
      <c r="K63" s="278"/>
      <c r="L63" s="278"/>
      <c r="M63" s="278"/>
      <c r="N63" s="278"/>
    </row>
    <row r="64" ht="15.75" customHeight="1">
      <c r="A64" s="278" t="s">
        <v>521</v>
      </c>
      <c r="B64" s="278"/>
      <c r="C64" s="278"/>
      <c r="D64" s="278">
        <v>3750.0</v>
      </c>
      <c r="E64" s="278">
        <v>3500.0</v>
      </c>
      <c r="F64" s="278">
        <v>3000.0</v>
      </c>
      <c r="G64" s="278"/>
      <c r="H64" s="278"/>
      <c r="I64" s="278"/>
      <c r="J64" s="278"/>
      <c r="K64" s="278"/>
      <c r="L64" s="278"/>
      <c r="M64" s="278"/>
      <c r="N64" s="278"/>
    </row>
    <row r="65" ht="15.75" customHeight="1">
      <c r="A65" s="278"/>
      <c r="B65" s="278"/>
      <c r="C65" s="278"/>
      <c r="D65" s="278"/>
      <c r="E65" s="278"/>
      <c r="F65" s="278"/>
      <c r="G65" s="278"/>
      <c r="H65" s="278"/>
      <c r="I65" s="278"/>
      <c r="J65" s="278"/>
      <c r="K65" s="278"/>
      <c r="L65" s="278"/>
      <c r="M65" s="278"/>
      <c r="N65" s="278"/>
    </row>
    <row r="66" ht="15.75" customHeight="1">
      <c r="A66" s="278"/>
      <c r="B66" s="278"/>
      <c r="C66" s="278"/>
      <c r="D66" s="278"/>
      <c r="E66" s="278"/>
      <c r="F66" s="278"/>
      <c r="G66" s="278"/>
      <c r="H66" s="278"/>
      <c r="I66" s="278"/>
      <c r="J66" s="278"/>
      <c r="K66" s="278"/>
      <c r="L66" s="278"/>
      <c r="M66" s="278"/>
      <c r="N66" s="278"/>
    </row>
    <row r="67" ht="15.75" customHeight="1">
      <c r="A67" s="278"/>
      <c r="B67" s="278"/>
      <c r="C67" s="278"/>
      <c r="D67" s="278"/>
      <c r="E67" s="278"/>
      <c r="F67" s="278"/>
      <c r="G67" s="278"/>
      <c r="H67" s="278"/>
      <c r="I67" s="278"/>
      <c r="J67" s="278"/>
      <c r="K67" s="278"/>
      <c r="L67" s="278"/>
      <c r="M67" s="278"/>
      <c r="N67" s="278"/>
    </row>
    <row r="68" ht="15.75" customHeight="1"/>
    <row r="69" ht="15.75" customHeight="1"/>
    <row r="70" ht="15.75" customHeight="1"/>
    <row r="71" ht="15.75" customHeight="1"/>
    <row r="72" ht="15.75" customHeight="1">
      <c r="A72" s="269" t="s">
        <v>522</v>
      </c>
      <c r="B72" s="269" t="s">
        <v>523</v>
      </c>
      <c r="C72" s="269" t="s">
        <v>513</v>
      </c>
      <c r="D72" s="269" t="s">
        <v>514</v>
      </c>
      <c r="E72" s="269" t="s">
        <v>515</v>
      </c>
      <c r="F72" s="269" t="s">
        <v>494</v>
      </c>
      <c r="G72" s="269" t="s">
        <v>473</v>
      </c>
      <c r="H72" s="269" t="s">
        <v>474</v>
      </c>
      <c r="I72" s="269" t="s">
        <v>475</v>
      </c>
      <c r="J72" s="269" t="s">
        <v>476</v>
      </c>
      <c r="K72" s="269" t="s">
        <v>477</v>
      </c>
      <c r="L72" s="269" t="s">
        <v>478</v>
      </c>
      <c r="M72" s="269" t="s">
        <v>479</v>
      </c>
      <c r="N72" s="269" t="s">
        <v>480</v>
      </c>
    </row>
    <row r="73" ht="15.75" customHeight="1">
      <c r="A73" s="270"/>
      <c r="B73" s="270"/>
      <c r="C73" s="270"/>
      <c r="D73" s="270"/>
      <c r="E73" s="270"/>
      <c r="F73" s="270"/>
      <c r="G73" s="270"/>
      <c r="H73" s="270"/>
      <c r="I73" s="270"/>
      <c r="J73" s="270"/>
      <c r="K73" s="270"/>
      <c r="L73" s="270"/>
      <c r="M73" s="270"/>
      <c r="N73" s="270"/>
    </row>
    <row r="74" ht="15.75" customHeight="1">
      <c r="A74" s="270" t="s">
        <v>524</v>
      </c>
      <c r="B74" s="269">
        <v>1600.0</v>
      </c>
      <c r="C74" s="269">
        <v>2100.0</v>
      </c>
      <c r="D74" s="269">
        <v>2600.0</v>
      </c>
      <c r="E74" s="269">
        <v>2000.0</v>
      </c>
      <c r="F74" s="269">
        <v>2000.0</v>
      </c>
      <c r="G74" s="269">
        <v>0.0</v>
      </c>
      <c r="H74" s="269">
        <v>0.0</v>
      </c>
      <c r="I74" s="269">
        <v>0.0</v>
      </c>
      <c r="J74" s="269">
        <v>0.0</v>
      </c>
      <c r="K74" s="269">
        <v>0.0</v>
      </c>
      <c r="L74" s="269">
        <v>0.0</v>
      </c>
      <c r="M74" s="269">
        <v>0.0</v>
      </c>
      <c r="N74" s="269">
        <v>0.0</v>
      </c>
    </row>
    <row r="75" ht="15.75" customHeight="1">
      <c r="A75" s="270" t="s">
        <v>525</v>
      </c>
      <c r="B75" s="269">
        <v>0.0</v>
      </c>
      <c r="C75" s="269">
        <v>0.0</v>
      </c>
      <c r="D75" s="269">
        <v>0.0</v>
      </c>
      <c r="E75" s="269">
        <v>0.0</v>
      </c>
      <c r="F75" s="269">
        <v>15080.0</v>
      </c>
      <c r="G75" s="269">
        <v>14900.0</v>
      </c>
      <c r="H75" s="269">
        <v>14750.0</v>
      </c>
      <c r="I75" s="270">
        <v>14600.0</v>
      </c>
      <c r="J75" s="270">
        <v>14450.0</v>
      </c>
      <c r="K75" s="270">
        <v>14300.0</v>
      </c>
      <c r="L75" s="270">
        <v>14150.0</v>
      </c>
      <c r="M75" s="270">
        <v>14000.0</v>
      </c>
      <c r="N75" s="270">
        <v>13850.0</v>
      </c>
    </row>
    <row r="76" ht="15.75" customHeight="1">
      <c r="A76" s="270" t="s">
        <v>526</v>
      </c>
      <c r="B76" s="270">
        <v>300.0</v>
      </c>
      <c r="C76" s="270"/>
      <c r="D76" s="270"/>
      <c r="E76" s="270"/>
      <c r="F76" s="270"/>
      <c r="G76" s="269">
        <v>180.0</v>
      </c>
      <c r="H76" s="269">
        <v>150.0</v>
      </c>
      <c r="I76" s="270">
        <v>150.0</v>
      </c>
      <c r="J76" s="270">
        <v>150.0</v>
      </c>
      <c r="K76" s="270">
        <v>150.0</v>
      </c>
      <c r="L76" s="270">
        <v>150.0</v>
      </c>
      <c r="M76" s="270">
        <v>150.0</v>
      </c>
      <c r="N76" s="270">
        <v>150.0</v>
      </c>
    </row>
    <row r="77" ht="15.75" customHeight="1">
      <c r="A77" s="270" t="s">
        <v>527</v>
      </c>
      <c r="B77" s="270"/>
      <c r="C77" s="270"/>
      <c r="D77" s="270"/>
      <c r="E77" s="270"/>
      <c r="F77" s="270"/>
      <c r="G77" s="269">
        <v>12000.0</v>
      </c>
      <c r="H77" s="269">
        <v>10000.0</v>
      </c>
      <c r="I77" s="270">
        <v>10000.0</v>
      </c>
      <c r="J77" s="270">
        <v>10000.0</v>
      </c>
      <c r="K77" s="270">
        <v>10000.0</v>
      </c>
      <c r="L77" s="270">
        <v>10945.0</v>
      </c>
      <c r="M77" s="270">
        <v>0.0</v>
      </c>
      <c r="N77" s="270">
        <v>0.0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3.38"/>
    <col customWidth="1" min="2" max="2" width="10.38"/>
    <col customWidth="1" min="3" max="3" width="7.75"/>
    <col customWidth="1" min="4" max="5" width="7.88"/>
    <col customWidth="1" min="6" max="6" width="7.75"/>
    <col customWidth="1" min="7" max="7" width="8.13"/>
    <col customWidth="1" min="8" max="8" width="7.88"/>
    <col customWidth="1" min="9" max="9" width="7.25"/>
    <col customWidth="1" min="10" max="10" width="8.13"/>
    <col customWidth="1" min="11" max="11" width="7.88"/>
    <col customWidth="1" min="12" max="12" width="7.63"/>
    <col customWidth="1" min="13" max="13" width="8.0"/>
    <col customWidth="1" min="14" max="14" width="7.88"/>
    <col customWidth="1" min="15" max="26" width="15.13"/>
  </cols>
  <sheetData>
    <row r="1" ht="15.75" customHeight="1">
      <c r="A1" s="279" t="s">
        <v>528</v>
      </c>
      <c r="B1" s="280" t="s">
        <v>71</v>
      </c>
      <c r="C1" s="280" t="s">
        <v>529</v>
      </c>
      <c r="D1" s="280" t="s">
        <v>530</v>
      </c>
      <c r="E1" s="280" t="s">
        <v>531</v>
      </c>
      <c r="F1" s="280" t="s">
        <v>532</v>
      </c>
      <c r="G1" s="280" t="s">
        <v>533</v>
      </c>
      <c r="H1" s="280" t="s">
        <v>534</v>
      </c>
      <c r="I1" s="280" t="s">
        <v>535</v>
      </c>
      <c r="J1" s="280" t="s">
        <v>536</v>
      </c>
      <c r="K1" s="280" t="s">
        <v>537</v>
      </c>
      <c r="L1" s="280" t="s">
        <v>538</v>
      </c>
      <c r="M1" s="280" t="s">
        <v>539</v>
      </c>
      <c r="N1" s="280" t="s">
        <v>540</v>
      </c>
    </row>
    <row r="2" ht="15.75" customHeight="1">
      <c r="A2" s="281"/>
      <c r="B2" s="282"/>
      <c r="C2" s="282">
        <v>4595.41</v>
      </c>
      <c r="D2" s="282">
        <v>4998.0</v>
      </c>
      <c r="E2" s="282">
        <v>5995.0</v>
      </c>
      <c r="F2" s="282">
        <v>4729.0</v>
      </c>
      <c r="G2" s="282">
        <v>5337.0</v>
      </c>
      <c r="H2" s="282">
        <v>4230.0</v>
      </c>
      <c r="I2" s="282">
        <v>5213.0</v>
      </c>
      <c r="J2" s="282">
        <v>4135.0</v>
      </c>
      <c r="K2" s="282">
        <v>4200.0</v>
      </c>
      <c r="L2" s="282">
        <v>4383.0</v>
      </c>
      <c r="M2" s="282">
        <v>4567.0</v>
      </c>
      <c r="N2" s="282">
        <v>5200.0</v>
      </c>
    </row>
    <row r="3" ht="15.75" customHeight="1">
      <c r="A3" s="282" t="s">
        <v>541</v>
      </c>
      <c r="B3" s="282" t="s">
        <v>223</v>
      </c>
      <c r="C3" s="282">
        <v>0.0</v>
      </c>
      <c r="D3" s="282">
        <v>42.0</v>
      </c>
      <c r="E3" s="282">
        <v>50.0</v>
      </c>
      <c r="F3" s="282">
        <v>0.0</v>
      </c>
      <c r="G3" s="282">
        <v>0.0</v>
      </c>
      <c r="H3" s="282">
        <v>0.0</v>
      </c>
      <c r="I3" s="282">
        <v>0.0</v>
      </c>
      <c r="J3" s="282">
        <v>42.0</v>
      </c>
      <c r="K3" s="282">
        <v>0.0</v>
      </c>
      <c r="L3" s="282">
        <v>0.0</v>
      </c>
      <c r="M3" s="282">
        <v>0.0</v>
      </c>
      <c r="N3" s="282">
        <v>20.0</v>
      </c>
    </row>
    <row r="4" ht="15.75" customHeight="1">
      <c r="A4" s="282" t="s">
        <v>542</v>
      </c>
      <c r="B4" s="282">
        <v>262841.0</v>
      </c>
      <c r="C4" s="282">
        <v>630.0</v>
      </c>
      <c r="D4" s="282">
        <v>630.0</v>
      </c>
      <c r="E4" s="282">
        <v>630.0</v>
      </c>
      <c r="F4" s="282">
        <v>630.0</v>
      </c>
      <c r="G4" s="282">
        <v>630.0</v>
      </c>
      <c r="H4" s="282">
        <v>630.0</v>
      </c>
      <c r="I4" s="282">
        <v>630.0</v>
      </c>
      <c r="J4" s="282">
        <v>630.0</v>
      </c>
      <c r="K4" s="282">
        <v>630.0</v>
      </c>
      <c r="L4" s="282">
        <v>630.0</v>
      </c>
      <c r="M4" s="282">
        <v>630.0</v>
      </c>
      <c r="N4" s="282">
        <v>630.0</v>
      </c>
    </row>
    <row r="5" ht="15.75" customHeight="1">
      <c r="A5" s="282" t="s">
        <v>543</v>
      </c>
      <c r="B5" s="282">
        <v>26276.0</v>
      </c>
      <c r="C5" s="282">
        <v>460.0</v>
      </c>
      <c r="D5" s="282">
        <v>460.0</v>
      </c>
      <c r="E5" s="282">
        <v>460.0</v>
      </c>
      <c r="F5" s="282">
        <v>460.0</v>
      </c>
      <c r="G5" s="282">
        <v>460.0</v>
      </c>
      <c r="H5" s="282">
        <v>460.0</v>
      </c>
      <c r="I5" s="282">
        <v>460.0</v>
      </c>
      <c r="J5" s="282">
        <v>460.0</v>
      </c>
      <c r="K5" s="282">
        <v>460.0</v>
      </c>
      <c r="L5" s="282">
        <v>460.0</v>
      </c>
      <c r="M5" s="282">
        <v>460.0</v>
      </c>
      <c r="N5" s="282">
        <v>460.0</v>
      </c>
    </row>
    <row r="6" ht="15.75" customHeight="1">
      <c r="A6" s="282" t="s">
        <v>544</v>
      </c>
      <c r="B6" s="282" t="s">
        <v>223</v>
      </c>
      <c r="C6" s="282">
        <v>202.0</v>
      </c>
      <c r="D6" s="282">
        <v>202.0</v>
      </c>
      <c r="E6" s="282">
        <v>202.0</v>
      </c>
      <c r="F6" s="282">
        <v>198.0</v>
      </c>
      <c r="G6" s="282">
        <v>198.0</v>
      </c>
      <c r="H6" s="282">
        <v>198.0</v>
      </c>
      <c r="I6" s="282">
        <v>198.0</v>
      </c>
      <c r="J6" s="282">
        <v>198.0</v>
      </c>
      <c r="K6" s="282">
        <v>198.0</v>
      </c>
      <c r="L6" s="282">
        <v>204.0</v>
      </c>
      <c r="M6" s="282">
        <v>204.0</v>
      </c>
      <c r="N6" s="282">
        <v>204.0</v>
      </c>
    </row>
    <row r="7" ht="15.75" customHeight="1">
      <c r="A7" s="282" t="s">
        <v>545</v>
      </c>
      <c r="B7" s="282" t="s">
        <v>223</v>
      </c>
      <c r="C7" s="282">
        <v>42.0</v>
      </c>
      <c r="D7" s="282">
        <v>42.0</v>
      </c>
      <c r="E7" s="282">
        <v>42.0</v>
      </c>
      <c r="F7" s="282">
        <v>42.0</v>
      </c>
      <c r="G7" s="282">
        <v>42.0</v>
      </c>
      <c r="H7" s="282">
        <v>42.0</v>
      </c>
      <c r="I7" s="282">
        <v>42.0</v>
      </c>
      <c r="J7" s="282">
        <v>42.0</v>
      </c>
      <c r="K7" s="282">
        <v>42.0</v>
      </c>
      <c r="L7" s="282">
        <v>42.0</v>
      </c>
      <c r="M7" s="282">
        <v>42.0</v>
      </c>
      <c r="N7" s="282">
        <v>42.0</v>
      </c>
    </row>
    <row r="8" ht="15.75" customHeight="1">
      <c r="A8" s="282" t="s">
        <v>546</v>
      </c>
      <c r="B8" s="282">
        <v>17050.0</v>
      </c>
      <c r="C8" s="282">
        <v>0.0</v>
      </c>
      <c r="D8" s="282">
        <v>0.0</v>
      </c>
      <c r="E8" s="282">
        <v>0.0</v>
      </c>
      <c r="F8" s="282">
        <v>0.0</v>
      </c>
      <c r="G8" s="282">
        <v>0.0</v>
      </c>
      <c r="H8" s="282">
        <v>0.0</v>
      </c>
      <c r="I8" s="282">
        <v>0.0</v>
      </c>
      <c r="J8" s="282">
        <v>0.0</v>
      </c>
      <c r="K8" s="282">
        <v>0.0</v>
      </c>
      <c r="L8" s="282">
        <v>0.0</v>
      </c>
      <c r="M8" s="282">
        <v>0.0</v>
      </c>
      <c r="N8" s="282">
        <v>0.0</v>
      </c>
    </row>
    <row r="9" ht="15.75" customHeight="1">
      <c r="A9" s="282" t="s">
        <v>547</v>
      </c>
      <c r="B9" s="282" t="s">
        <v>223</v>
      </c>
      <c r="C9" s="282">
        <v>276.0</v>
      </c>
      <c r="D9" s="282">
        <v>280.0</v>
      </c>
      <c r="E9" s="282">
        <v>200.0</v>
      </c>
      <c r="F9" s="282">
        <v>200.0</v>
      </c>
      <c r="G9" s="282">
        <v>200.0</v>
      </c>
      <c r="H9" s="282">
        <v>200.0</v>
      </c>
      <c r="I9" s="282">
        <v>200.0</v>
      </c>
      <c r="J9" s="282">
        <v>150.0</v>
      </c>
      <c r="K9" s="282">
        <v>150.0</v>
      </c>
      <c r="L9" s="282">
        <v>150.0</v>
      </c>
      <c r="M9" s="282">
        <v>150.0</v>
      </c>
      <c r="N9" s="282">
        <v>150.0</v>
      </c>
    </row>
    <row r="10" ht="15.75" customHeight="1">
      <c r="A10" s="282" t="s">
        <v>548</v>
      </c>
      <c r="B10" s="282" t="s">
        <v>223</v>
      </c>
      <c r="C10" s="282">
        <v>441.0</v>
      </c>
      <c r="D10" s="282">
        <v>384.0</v>
      </c>
      <c r="E10" s="282">
        <v>384.0</v>
      </c>
      <c r="F10" s="282">
        <v>253.0</v>
      </c>
      <c r="G10" s="282">
        <v>387.0</v>
      </c>
      <c r="H10" s="282">
        <v>387.0</v>
      </c>
      <c r="I10" s="282">
        <v>487.0</v>
      </c>
      <c r="J10" s="282">
        <v>500.0</v>
      </c>
      <c r="K10" s="282">
        <v>500.0</v>
      </c>
      <c r="L10" s="282">
        <v>500.0</v>
      </c>
      <c r="M10" s="282">
        <v>580.0</v>
      </c>
      <c r="N10" s="282">
        <v>500.0</v>
      </c>
    </row>
    <row r="11" ht="15.75" customHeight="1">
      <c r="A11" s="282" t="s">
        <v>549</v>
      </c>
      <c r="B11" s="282">
        <v>0.0</v>
      </c>
      <c r="C11" s="282">
        <v>1000.0</v>
      </c>
      <c r="D11" s="282">
        <v>1900.0</v>
      </c>
      <c r="E11" s="282">
        <v>2500.0</v>
      </c>
      <c r="F11" s="282">
        <v>1325.0</v>
      </c>
      <c r="G11" s="282">
        <v>2500.0</v>
      </c>
      <c r="H11" s="282">
        <v>1000.0</v>
      </c>
      <c r="I11" s="282">
        <v>1750.0</v>
      </c>
      <c r="J11" s="282">
        <v>1250.0</v>
      </c>
      <c r="K11" s="282">
        <v>1250.0</v>
      </c>
      <c r="L11" s="282">
        <v>1500.0</v>
      </c>
      <c r="M11" s="282">
        <v>1750.0</v>
      </c>
      <c r="N11" s="282">
        <v>1850.0</v>
      </c>
    </row>
    <row r="12" ht="15.75" customHeight="1">
      <c r="A12" s="282" t="s">
        <v>550</v>
      </c>
      <c r="B12" s="282" t="s">
        <v>223</v>
      </c>
      <c r="C12" s="282">
        <v>194.0</v>
      </c>
      <c r="D12" s="282">
        <v>110.0</v>
      </c>
      <c r="E12" s="282">
        <v>532.0</v>
      </c>
      <c r="F12" s="282">
        <v>389.0</v>
      </c>
      <c r="G12" s="282">
        <v>389.0</v>
      </c>
      <c r="H12" s="282">
        <v>209.0</v>
      </c>
      <c r="I12" s="282">
        <v>300.0</v>
      </c>
      <c r="J12" s="282">
        <v>200.0</v>
      </c>
      <c r="K12" s="282">
        <v>750.0</v>
      </c>
      <c r="L12" s="282">
        <v>0.0</v>
      </c>
      <c r="M12" s="282">
        <v>0.0</v>
      </c>
      <c r="N12" s="282">
        <v>300.0</v>
      </c>
    </row>
    <row r="13" ht="15.75" customHeight="1">
      <c r="A13" s="282" t="s">
        <v>551</v>
      </c>
      <c r="B13" s="282" t="s">
        <v>223</v>
      </c>
      <c r="C13" s="282">
        <v>0.0</v>
      </c>
      <c r="D13" s="282">
        <v>100.0</v>
      </c>
      <c r="E13" s="282">
        <v>100.0</v>
      </c>
      <c r="F13" s="282">
        <v>200.0</v>
      </c>
      <c r="G13" s="282">
        <v>100.0</v>
      </c>
      <c r="H13" s="282">
        <v>100.0</v>
      </c>
      <c r="I13" s="282">
        <v>120.0</v>
      </c>
      <c r="J13" s="282">
        <v>0.0</v>
      </c>
      <c r="K13" s="282">
        <v>100.0</v>
      </c>
      <c r="L13" s="282">
        <v>100.0</v>
      </c>
      <c r="M13" s="282">
        <v>320.0</v>
      </c>
      <c r="N13" s="282">
        <v>200.0</v>
      </c>
    </row>
    <row r="14" ht="15.75" customHeight="1">
      <c r="A14" s="282" t="s">
        <v>552</v>
      </c>
      <c r="B14" s="282" t="s">
        <v>223</v>
      </c>
      <c r="C14" s="282">
        <v>50.0</v>
      </c>
      <c r="D14" s="282">
        <v>50.0</v>
      </c>
      <c r="E14" s="282">
        <v>50.0</v>
      </c>
      <c r="F14" s="282">
        <v>50.0</v>
      </c>
      <c r="G14" s="282">
        <v>50.0</v>
      </c>
      <c r="H14" s="282">
        <v>50.0</v>
      </c>
      <c r="I14" s="282">
        <v>50.0</v>
      </c>
      <c r="J14" s="282">
        <v>75.0</v>
      </c>
      <c r="K14" s="282">
        <v>75.0</v>
      </c>
      <c r="L14" s="282">
        <v>75.0</v>
      </c>
      <c r="M14" s="282">
        <v>75.0</v>
      </c>
      <c r="N14" s="282">
        <v>75.0</v>
      </c>
    </row>
    <row r="15" ht="15.75" customHeight="1">
      <c r="A15" s="282" t="s">
        <v>553</v>
      </c>
      <c r="B15" s="282">
        <v>0.0</v>
      </c>
      <c r="C15" s="282">
        <v>207.0</v>
      </c>
      <c r="D15" s="282">
        <v>60.0</v>
      </c>
      <c r="E15" s="282">
        <v>93.0</v>
      </c>
      <c r="F15" s="282">
        <v>14.0</v>
      </c>
      <c r="G15" s="282">
        <v>0.0</v>
      </c>
      <c r="H15" s="282">
        <v>34.0</v>
      </c>
      <c r="I15" s="282">
        <v>0.0</v>
      </c>
      <c r="J15" s="282">
        <v>0.0</v>
      </c>
      <c r="K15" s="282">
        <v>109.0</v>
      </c>
      <c r="L15" s="282">
        <v>162.0</v>
      </c>
      <c r="M15" s="282">
        <v>0.0</v>
      </c>
      <c r="N15" s="282">
        <v>0.0</v>
      </c>
    </row>
    <row r="16" ht="15.75" customHeight="1">
      <c r="A16" s="282" t="s">
        <v>554</v>
      </c>
      <c r="B16" s="282">
        <v>0.0</v>
      </c>
      <c r="C16" s="282">
        <v>153.0</v>
      </c>
      <c r="D16" s="282">
        <v>0.0</v>
      </c>
      <c r="E16" s="282">
        <v>500.0</v>
      </c>
      <c r="F16" s="282">
        <v>0.0</v>
      </c>
      <c r="G16" s="282">
        <v>0.0</v>
      </c>
      <c r="H16" s="282">
        <v>0.0</v>
      </c>
      <c r="I16" s="282">
        <v>284.0</v>
      </c>
      <c r="J16" s="282">
        <v>0.0</v>
      </c>
      <c r="K16" s="282">
        <v>0.0</v>
      </c>
      <c r="L16" s="282">
        <v>0.0</v>
      </c>
      <c r="M16" s="282">
        <v>0.0</v>
      </c>
      <c r="N16" s="282">
        <v>0.0</v>
      </c>
    </row>
    <row r="17" ht="15.75" customHeight="1">
      <c r="A17" s="282" t="s">
        <v>555</v>
      </c>
      <c r="B17" s="282">
        <v>0.0</v>
      </c>
      <c r="C17" s="282">
        <v>0.0</v>
      </c>
      <c r="D17" s="282">
        <v>0.0</v>
      </c>
      <c r="E17" s="282">
        <v>0.0</v>
      </c>
      <c r="F17" s="282">
        <v>0.0</v>
      </c>
      <c r="G17" s="282">
        <v>0.0</v>
      </c>
      <c r="H17" s="282">
        <v>0.0</v>
      </c>
      <c r="I17" s="282">
        <v>0.0</v>
      </c>
      <c r="J17" s="282">
        <v>0.0</v>
      </c>
      <c r="K17" s="282">
        <v>0.0</v>
      </c>
      <c r="L17" s="282">
        <v>0.0</v>
      </c>
      <c r="M17" s="282">
        <v>0.0</v>
      </c>
      <c r="N17" s="282">
        <v>501.0</v>
      </c>
    </row>
    <row r="18" ht="15.75" customHeight="1">
      <c r="A18" s="282" t="s">
        <v>556</v>
      </c>
      <c r="B18" s="282">
        <v>5000.0</v>
      </c>
      <c r="C18" s="282">
        <v>0.0</v>
      </c>
      <c r="D18" s="282">
        <v>0.0</v>
      </c>
      <c r="E18" s="282">
        <v>0.0</v>
      </c>
      <c r="F18" s="282">
        <v>0.0</v>
      </c>
      <c r="G18" s="282">
        <v>0.0</v>
      </c>
      <c r="H18" s="282">
        <v>0.0</v>
      </c>
      <c r="I18" s="282">
        <v>0.0</v>
      </c>
      <c r="J18" s="282">
        <v>0.0</v>
      </c>
      <c r="K18" s="282">
        <v>0.0</v>
      </c>
      <c r="L18" s="282">
        <v>250.0</v>
      </c>
      <c r="M18" s="282">
        <v>0.0</v>
      </c>
      <c r="N18" s="282">
        <v>0.0</v>
      </c>
    </row>
    <row r="19" ht="15.75" customHeight="1">
      <c r="A19" s="282" t="s">
        <v>557</v>
      </c>
      <c r="B19" s="282">
        <v>0.0</v>
      </c>
      <c r="C19" s="282">
        <v>392.0</v>
      </c>
      <c r="D19" s="282">
        <v>571.0</v>
      </c>
      <c r="E19" s="282">
        <v>0.0</v>
      </c>
      <c r="F19" s="282">
        <v>124.0</v>
      </c>
      <c r="G19" s="282">
        <v>0.0</v>
      </c>
      <c r="H19" s="282">
        <v>217.0</v>
      </c>
      <c r="I19" s="282">
        <v>0.0</v>
      </c>
      <c r="J19" s="282">
        <v>0.0</v>
      </c>
      <c r="K19" s="282">
        <v>0.0</v>
      </c>
      <c r="L19" s="282">
        <v>0.0</v>
      </c>
      <c r="M19" s="282">
        <v>40.0</v>
      </c>
      <c r="N19" s="282">
        <v>0.0</v>
      </c>
    </row>
    <row r="20" ht="15.75" customHeight="1">
      <c r="A20" s="282"/>
      <c r="B20" s="283"/>
      <c r="C20" s="283"/>
      <c r="D20" s="283"/>
      <c r="E20" s="283"/>
      <c r="F20" s="283"/>
      <c r="G20" s="282"/>
      <c r="H20" s="283"/>
      <c r="I20" s="283"/>
      <c r="J20" s="283"/>
      <c r="K20" s="283"/>
      <c r="L20" s="283"/>
      <c r="M20" s="283"/>
      <c r="N20" s="283"/>
    </row>
    <row r="21" ht="15.75" customHeight="1">
      <c r="A21" s="284" t="s">
        <v>33</v>
      </c>
      <c r="B21" s="284">
        <f>Sum(B4,B8)</f>
        <v>279891</v>
      </c>
      <c r="C21" s="284">
        <f t="shared" ref="C21:D21" si="1">Sum(C3:C19)</f>
        <v>4047</v>
      </c>
      <c r="D21" s="284">
        <f t="shared" si="1"/>
        <v>4831</v>
      </c>
      <c r="E21" s="284">
        <f>Sum(E3:E17)</f>
        <v>5743</v>
      </c>
      <c r="F21" s="284">
        <f t="shared" ref="F21:N21" si="2">Sum(F3:F19)</f>
        <v>3885</v>
      </c>
      <c r="G21" s="284">
        <f t="shared" si="2"/>
        <v>4956</v>
      </c>
      <c r="H21" s="284">
        <f t="shared" si="2"/>
        <v>3527</v>
      </c>
      <c r="I21" s="284">
        <f t="shared" si="2"/>
        <v>4521</v>
      </c>
      <c r="J21" s="284">
        <f t="shared" si="2"/>
        <v>3547</v>
      </c>
      <c r="K21" s="284">
        <f t="shared" si="2"/>
        <v>4264</v>
      </c>
      <c r="L21" s="284">
        <f t="shared" si="2"/>
        <v>4073</v>
      </c>
      <c r="M21" s="284">
        <f t="shared" si="2"/>
        <v>4251</v>
      </c>
      <c r="N21" s="284">
        <f t="shared" si="2"/>
        <v>4932</v>
      </c>
    </row>
    <row r="22" ht="15.75" customHeight="1">
      <c r="A22" s="163" t="s">
        <v>558</v>
      </c>
      <c r="B22" s="285" t="s">
        <v>71</v>
      </c>
      <c r="C22" s="285" t="s">
        <v>559</v>
      </c>
      <c r="D22" s="285" t="s">
        <v>560</v>
      </c>
      <c r="E22" s="285" t="s">
        <v>561</v>
      </c>
      <c r="F22" s="285" t="s">
        <v>562</v>
      </c>
      <c r="G22" s="285" t="s">
        <v>563</v>
      </c>
      <c r="H22" s="285" t="s">
        <v>564</v>
      </c>
      <c r="I22" s="285" t="s">
        <v>565</v>
      </c>
      <c r="J22" s="285" t="s">
        <v>566</v>
      </c>
      <c r="K22" s="285" t="s">
        <v>567</v>
      </c>
      <c r="L22" s="285" t="s">
        <v>568</v>
      </c>
      <c r="M22" s="285" t="s">
        <v>569</v>
      </c>
      <c r="N22" s="285" t="s">
        <v>570</v>
      </c>
    </row>
    <row r="23" ht="15.75" customHeight="1">
      <c r="A23" s="163"/>
      <c r="B23" s="285"/>
      <c r="C23" s="285">
        <v>4742.0</v>
      </c>
      <c r="D23" s="285">
        <v>4767.0</v>
      </c>
      <c r="E23" s="285">
        <v>4700.0</v>
      </c>
      <c r="F23" s="285">
        <v>4180.0</v>
      </c>
      <c r="G23" s="285">
        <v>3500.0</v>
      </c>
      <c r="H23" s="285">
        <v>2808.0</v>
      </c>
      <c r="I23" s="285">
        <v>3266.0</v>
      </c>
      <c r="J23" s="285">
        <v>4000.0</v>
      </c>
      <c r="K23" s="285">
        <v>4200.0</v>
      </c>
      <c r="L23" s="285">
        <v>2912.0</v>
      </c>
      <c r="M23" s="285">
        <v>3017.0</v>
      </c>
      <c r="N23" s="285">
        <v>4410.0</v>
      </c>
    </row>
    <row r="24" ht="15.75" customHeight="1">
      <c r="A24" s="285" t="s">
        <v>541</v>
      </c>
      <c r="B24" s="285" t="s">
        <v>223</v>
      </c>
      <c r="C24" s="285">
        <v>54.0</v>
      </c>
      <c r="D24" s="285">
        <v>50.0</v>
      </c>
      <c r="E24" s="285">
        <v>0.0</v>
      </c>
      <c r="F24" s="285">
        <v>0.0</v>
      </c>
      <c r="G24" s="285">
        <v>0.0</v>
      </c>
      <c r="H24" s="285">
        <v>0.0</v>
      </c>
      <c r="I24" s="285">
        <v>0.0</v>
      </c>
      <c r="J24" s="285">
        <v>100.0</v>
      </c>
      <c r="K24" s="285">
        <v>0.0</v>
      </c>
      <c r="L24" s="285">
        <v>0.0</v>
      </c>
      <c r="M24" s="285">
        <v>53.0</v>
      </c>
      <c r="N24" s="285">
        <v>0.0</v>
      </c>
    </row>
    <row r="25" ht="15.75" customHeight="1">
      <c r="A25" s="285" t="s">
        <v>542</v>
      </c>
      <c r="B25" s="285">
        <f t="shared" ref="B25:B26" si="3">B4</f>
        <v>262841</v>
      </c>
      <c r="C25" s="285">
        <v>630.0</v>
      </c>
      <c r="D25" s="285">
        <v>630.0</v>
      </c>
      <c r="E25" s="285">
        <v>630.0</v>
      </c>
      <c r="F25" s="285">
        <v>630.0</v>
      </c>
      <c r="G25" s="285">
        <v>630.0</v>
      </c>
      <c r="H25" s="285">
        <v>630.0</v>
      </c>
      <c r="I25" s="285">
        <v>630.0</v>
      </c>
      <c r="J25" s="285">
        <v>630.0</v>
      </c>
      <c r="K25" s="285">
        <v>630.0</v>
      </c>
      <c r="L25" s="285">
        <v>630.0</v>
      </c>
      <c r="M25" s="285">
        <v>630.0</v>
      </c>
      <c r="N25" s="285">
        <v>630.0</v>
      </c>
    </row>
    <row r="26" ht="15.75" customHeight="1">
      <c r="A26" s="285" t="s">
        <v>543</v>
      </c>
      <c r="B26" s="285">
        <f t="shared" si="3"/>
        <v>26276</v>
      </c>
      <c r="C26" s="285">
        <v>0.0</v>
      </c>
      <c r="D26" s="285">
        <v>0.0</v>
      </c>
      <c r="E26" s="285">
        <v>0.0</v>
      </c>
      <c r="F26" s="285">
        <v>0.0</v>
      </c>
      <c r="G26" s="285">
        <v>0.0</v>
      </c>
      <c r="H26" s="285">
        <v>0.0</v>
      </c>
      <c r="I26" s="285">
        <v>0.0</v>
      </c>
      <c r="J26" s="285">
        <v>0.0</v>
      </c>
      <c r="K26" s="285">
        <v>0.0</v>
      </c>
      <c r="L26" s="285">
        <v>0.0</v>
      </c>
      <c r="M26" s="285">
        <v>0.0</v>
      </c>
      <c r="N26" s="285">
        <v>0.0</v>
      </c>
    </row>
    <row r="27" ht="15.75" customHeight="1">
      <c r="A27" s="285" t="s">
        <v>544</v>
      </c>
      <c r="B27" s="285" t="s">
        <v>223</v>
      </c>
      <c r="C27" s="285">
        <v>0.0</v>
      </c>
      <c r="D27" s="285">
        <v>0.0</v>
      </c>
      <c r="E27" s="285">
        <v>0.0</v>
      </c>
      <c r="F27" s="285">
        <v>0.0</v>
      </c>
      <c r="G27" s="285">
        <v>0.0</v>
      </c>
      <c r="H27" s="285">
        <v>0.0</v>
      </c>
      <c r="I27" s="285">
        <v>0.0</v>
      </c>
      <c r="J27" s="285">
        <v>0.0</v>
      </c>
      <c r="K27" s="285">
        <v>0.0</v>
      </c>
      <c r="L27" s="285">
        <v>0.0</v>
      </c>
      <c r="M27" s="285">
        <v>0.0</v>
      </c>
      <c r="N27" s="285">
        <v>0.0</v>
      </c>
    </row>
    <row r="28" ht="15.75" customHeight="1">
      <c r="A28" s="285" t="s">
        <v>545</v>
      </c>
      <c r="B28" s="285" t="s">
        <v>223</v>
      </c>
      <c r="C28" s="285">
        <v>0.0</v>
      </c>
      <c r="D28" s="285">
        <v>0.0</v>
      </c>
      <c r="E28" s="285">
        <v>0.0</v>
      </c>
      <c r="F28" s="285">
        <v>0.0</v>
      </c>
      <c r="G28" s="285">
        <v>0.0</v>
      </c>
      <c r="H28" s="285">
        <v>0.0</v>
      </c>
      <c r="I28" s="285">
        <v>0.0</v>
      </c>
      <c r="J28" s="285">
        <v>0.0</v>
      </c>
      <c r="K28" s="285">
        <v>0.0</v>
      </c>
      <c r="L28" s="285">
        <v>0.0</v>
      </c>
      <c r="M28" s="285">
        <v>0.0</v>
      </c>
      <c r="N28" s="285">
        <v>0.0</v>
      </c>
    </row>
    <row r="29" ht="15.75" customHeight="1">
      <c r="A29" s="285" t="s">
        <v>571</v>
      </c>
      <c r="B29" s="285">
        <f>B8</f>
        <v>17050</v>
      </c>
      <c r="C29" s="285">
        <v>201.0</v>
      </c>
      <c r="D29" s="285">
        <v>201.0</v>
      </c>
      <c r="E29" s="285">
        <v>201.0</v>
      </c>
      <c r="F29" s="285">
        <v>201.0</v>
      </c>
      <c r="G29" s="285">
        <v>201.0</v>
      </c>
      <c r="H29" s="285">
        <v>201.0</v>
      </c>
      <c r="I29" s="285">
        <v>201.0</v>
      </c>
      <c r="J29" s="285">
        <v>201.0</v>
      </c>
      <c r="K29" s="285">
        <v>201.0</v>
      </c>
      <c r="L29" s="285">
        <v>201.0</v>
      </c>
      <c r="M29" s="285">
        <v>201.0</v>
      </c>
      <c r="N29" s="285">
        <v>201.0</v>
      </c>
    </row>
    <row r="30" ht="15.75" customHeight="1">
      <c r="A30" s="285" t="s">
        <v>572</v>
      </c>
      <c r="B30" s="285" t="s">
        <v>223</v>
      </c>
      <c r="C30" s="285">
        <v>200.0</v>
      </c>
      <c r="D30" s="285">
        <v>355.0</v>
      </c>
      <c r="E30" s="285">
        <v>200.0</v>
      </c>
      <c r="F30" s="285">
        <v>200.0</v>
      </c>
      <c r="G30" s="285">
        <v>200.0</v>
      </c>
      <c r="H30" s="285">
        <v>0.0</v>
      </c>
      <c r="I30" s="285">
        <v>200.0</v>
      </c>
      <c r="J30" s="285">
        <v>150.0</v>
      </c>
      <c r="K30" s="285">
        <v>150.0</v>
      </c>
      <c r="L30" s="285">
        <v>150.0</v>
      </c>
      <c r="M30" s="285">
        <v>150.0</v>
      </c>
      <c r="N30" s="285">
        <v>150.0</v>
      </c>
    </row>
    <row r="31" ht="15.75" customHeight="1">
      <c r="A31" s="285" t="s">
        <v>573</v>
      </c>
      <c r="B31" s="285" t="s">
        <v>223</v>
      </c>
      <c r="C31" s="285">
        <v>484.0</v>
      </c>
      <c r="D31" s="285">
        <v>484.0</v>
      </c>
      <c r="E31" s="285">
        <v>487.0</v>
      </c>
      <c r="F31" s="285">
        <v>387.0</v>
      </c>
      <c r="G31" s="285">
        <v>587.0</v>
      </c>
      <c r="H31" s="285">
        <v>387.0</v>
      </c>
      <c r="I31" s="285">
        <v>487.0</v>
      </c>
      <c r="J31" s="285">
        <v>600.0</v>
      </c>
      <c r="K31" s="285">
        <v>600.0</v>
      </c>
      <c r="L31" s="285">
        <v>600.0</v>
      </c>
      <c r="M31" s="285">
        <v>600.0</v>
      </c>
      <c r="N31" s="285">
        <v>600.0</v>
      </c>
    </row>
    <row r="32" ht="15.75" customHeight="1">
      <c r="A32" s="285" t="s">
        <v>574</v>
      </c>
      <c r="B32" s="285" t="s">
        <v>223</v>
      </c>
      <c r="C32" s="285">
        <v>199.0</v>
      </c>
      <c r="D32" s="285">
        <v>158.0</v>
      </c>
      <c r="E32" s="285">
        <v>133.0</v>
      </c>
      <c r="F32" s="285">
        <v>142.0</v>
      </c>
      <c r="G32" s="285">
        <v>140.0</v>
      </c>
      <c r="H32" s="285">
        <v>151.0</v>
      </c>
      <c r="I32" s="285">
        <v>159.0</v>
      </c>
      <c r="J32" s="285">
        <v>229.0</v>
      </c>
      <c r="K32" s="285">
        <v>137.0</v>
      </c>
      <c r="L32" s="285">
        <v>137.0</v>
      </c>
      <c r="M32" s="285">
        <v>135.0</v>
      </c>
      <c r="N32" s="285">
        <v>164.0</v>
      </c>
    </row>
    <row r="33" ht="15.75" customHeight="1">
      <c r="A33" s="285" t="s">
        <v>575</v>
      </c>
      <c r="B33" s="285" t="s">
        <v>223</v>
      </c>
      <c r="C33" s="285">
        <v>60.0</v>
      </c>
      <c r="D33" s="285">
        <v>60.0</v>
      </c>
      <c r="E33" s="285">
        <v>60.0</v>
      </c>
      <c r="F33" s="285">
        <v>60.0</v>
      </c>
      <c r="G33" s="285">
        <v>60.0</v>
      </c>
      <c r="H33" s="285">
        <v>0.0</v>
      </c>
      <c r="I33" s="285">
        <v>36.0</v>
      </c>
      <c r="J33" s="285">
        <v>69.0</v>
      </c>
      <c r="K33" s="285">
        <v>69.0</v>
      </c>
      <c r="L33" s="285">
        <v>69.0</v>
      </c>
      <c r="M33" s="285">
        <v>69.0</v>
      </c>
      <c r="N33" s="285">
        <v>22.0</v>
      </c>
    </row>
    <row r="34" ht="15.75" customHeight="1">
      <c r="A34" s="285" t="s">
        <v>549</v>
      </c>
      <c r="B34" s="285">
        <v>0.0</v>
      </c>
      <c r="C34" s="285">
        <v>500.0</v>
      </c>
      <c r="D34" s="285">
        <v>1275.0</v>
      </c>
      <c r="E34" s="285">
        <v>1400.0</v>
      </c>
      <c r="F34" s="285">
        <v>1500.0</v>
      </c>
      <c r="G34" s="285">
        <v>1075.0</v>
      </c>
      <c r="H34" s="285">
        <v>750.0</v>
      </c>
      <c r="I34" s="285">
        <v>750.0</v>
      </c>
      <c r="J34" s="285">
        <v>1750.0</v>
      </c>
      <c r="K34" s="285">
        <v>1750.0</v>
      </c>
      <c r="L34" s="285">
        <v>400.0</v>
      </c>
      <c r="M34" s="285">
        <v>0.0</v>
      </c>
      <c r="N34" s="285">
        <v>1500.0</v>
      </c>
    </row>
    <row r="35" ht="15.75" customHeight="1">
      <c r="A35" s="285" t="s">
        <v>576</v>
      </c>
      <c r="B35" s="285" t="s">
        <v>223</v>
      </c>
      <c r="C35" s="285">
        <v>300.0</v>
      </c>
      <c r="D35" s="285">
        <v>300.0</v>
      </c>
      <c r="E35" s="285">
        <v>0.0</v>
      </c>
      <c r="F35" s="285">
        <v>0.0</v>
      </c>
      <c r="G35" s="285">
        <v>0.0</v>
      </c>
      <c r="H35" s="285">
        <v>0.0</v>
      </c>
      <c r="I35" s="285">
        <v>300.0</v>
      </c>
      <c r="J35" s="285">
        <v>200.0</v>
      </c>
      <c r="K35" s="285">
        <v>300.0</v>
      </c>
      <c r="L35" s="285">
        <v>300.0</v>
      </c>
      <c r="M35" s="285">
        <v>300.0</v>
      </c>
      <c r="N35" s="285">
        <v>300.0</v>
      </c>
    </row>
    <row r="36" ht="15.75" customHeight="1">
      <c r="A36" s="285" t="s">
        <v>577</v>
      </c>
      <c r="B36" s="285" t="s">
        <v>223</v>
      </c>
      <c r="C36" s="285">
        <v>1524.0</v>
      </c>
      <c r="D36" s="285">
        <v>100.0</v>
      </c>
      <c r="E36" s="285">
        <v>100.0</v>
      </c>
      <c r="F36" s="285">
        <v>490.0</v>
      </c>
      <c r="G36" s="285">
        <v>100.0</v>
      </c>
      <c r="H36" s="285">
        <v>100.0</v>
      </c>
      <c r="I36" s="285">
        <v>250.0</v>
      </c>
      <c r="J36" s="285">
        <v>265.0</v>
      </c>
      <c r="K36" s="285">
        <v>150.0</v>
      </c>
      <c r="L36" s="285">
        <v>160.0</v>
      </c>
      <c r="M36" s="285">
        <v>220.0</v>
      </c>
      <c r="N36" s="285">
        <v>200.0</v>
      </c>
    </row>
    <row r="37" ht="15.75" customHeight="1">
      <c r="A37" s="285" t="s">
        <v>578</v>
      </c>
      <c r="B37" s="285" t="s">
        <v>223</v>
      </c>
      <c r="C37" s="285">
        <v>50.0</v>
      </c>
      <c r="D37" s="285">
        <v>50.0</v>
      </c>
      <c r="E37" s="285">
        <v>50.0</v>
      </c>
      <c r="F37" s="285">
        <v>50.0</v>
      </c>
      <c r="G37" s="285">
        <v>80.0</v>
      </c>
      <c r="H37" s="285">
        <v>50.0</v>
      </c>
      <c r="I37" s="285">
        <v>80.0</v>
      </c>
      <c r="J37" s="285">
        <v>75.0</v>
      </c>
      <c r="K37" s="285">
        <v>75.0</v>
      </c>
      <c r="L37" s="285">
        <v>75.0</v>
      </c>
      <c r="M37" s="285">
        <v>75.0</v>
      </c>
      <c r="N37" s="285">
        <v>75.0</v>
      </c>
    </row>
    <row r="38" ht="15.75" customHeight="1">
      <c r="A38" s="285" t="s">
        <v>553</v>
      </c>
      <c r="B38" s="285">
        <v>0.0</v>
      </c>
      <c r="C38" s="285">
        <v>80.0</v>
      </c>
      <c r="D38" s="285">
        <v>211.0</v>
      </c>
      <c r="E38" s="285">
        <v>45.0</v>
      </c>
      <c r="F38" s="285">
        <v>97.0</v>
      </c>
      <c r="G38" s="285">
        <v>62.0</v>
      </c>
      <c r="H38" s="285">
        <v>35.0</v>
      </c>
      <c r="I38" s="285">
        <v>0.0</v>
      </c>
      <c r="J38" s="285">
        <v>0.0</v>
      </c>
      <c r="K38" s="285">
        <v>0.0</v>
      </c>
      <c r="L38" s="285">
        <v>0.0</v>
      </c>
      <c r="M38" s="285">
        <v>0.0</v>
      </c>
      <c r="N38" s="285">
        <v>0.0</v>
      </c>
    </row>
    <row r="39" ht="15.75" customHeight="1">
      <c r="A39" s="285" t="s">
        <v>554</v>
      </c>
      <c r="B39" s="285">
        <f t="shared" ref="B39:B42" si="4">B16</f>
        <v>0</v>
      </c>
      <c r="C39" s="285">
        <v>181.0</v>
      </c>
      <c r="D39" s="285">
        <v>331.0</v>
      </c>
      <c r="E39" s="285">
        <v>280.0</v>
      </c>
      <c r="F39" s="285">
        <v>100.0</v>
      </c>
      <c r="G39" s="285">
        <v>0.0</v>
      </c>
      <c r="H39" s="285">
        <v>0.0</v>
      </c>
      <c r="I39" s="285">
        <v>0.0</v>
      </c>
      <c r="J39" s="285">
        <v>0.0</v>
      </c>
      <c r="K39" s="285">
        <v>0.0</v>
      </c>
      <c r="L39" s="285">
        <v>0.0</v>
      </c>
      <c r="M39" s="285">
        <v>0.0</v>
      </c>
      <c r="N39" s="285">
        <v>0.0</v>
      </c>
    </row>
    <row r="40" ht="15.75" customHeight="1">
      <c r="A40" s="285" t="s">
        <v>555</v>
      </c>
      <c r="B40" s="285">
        <f t="shared" si="4"/>
        <v>0</v>
      </c>
      <c r="C40" s="285">
        <v>0.0</v>
      </c>
      <c r="D40" s="285">
        <v>0.0</v>
      </c>
      <c r="E40" s="285">
        <v>0.0</v>
      </c>
      <c r="F40" s="285">
        <v>0.0</v>
      </c>
      <c r="G40" s="285">
        <v>215.0</v>
      </c>
      <c r="H40" s="285">
        <v>0.0</v>
      </c>
      <c r="I40" s="285">
        <v>0.0</v>
      </c>
      <c r="J40" s="285">
        <v>0.0</v>
      </c>
      <c r="K40" s="285">
        <v>0.0</v>
      </c>
      <c r="L40" s="285">
        <v>0.0</v>
      </c>
      <c r="M40" s="285">
        <v>0.0</v>
      </c>
      <c r="N40" s="285">
        <v>0.0</v>
      </c>
    </row>
    <row r="41" ht="15.75" customHeight="1">
      <c r="A41" s="285" t="s">
        <v>556</v>
      </c>
      <c r="B41" s="285">
        <f t="shared" si="4"/>
        <v>5000</v>
      </c>
      <c r="C41" s="285">
        <v>0.0</v>
      </c>
      <c r="D41" s="285">
        <v>0.0</v>
      </c>
      <c r="E41" s="285">
        <v>0.0</v>
      </c>
      <c r="F41" s="285">
        <v>0.0</v>
      </c>
      <c r="G41" s="285">
        <v>0.0</v>
      </c>
      <c r="H41" s="285">
        <v>0.0</v>
      </c>
      <c r="I41" s="285">
        <v>0.0</v>
      </c>
      <c r="J41" s="285">
        <v>0.0</v>
      </c>
      <c r="K41" s="285">
        <v>0.0</v>
      </c>
      <c r="L41" s="285">
        <v>0.0</v>
      </c>
      <c r="M41" s="285">
        <v>0.0</v>
      </c>
      <c r="N41" s="285">
        <v>0.0</v>
      </c>
    </row>
    <row r="42" ht="15.75" customHeight="1">
      <c r="A42" s="285" t="s">
        <v>557</v>
      </c>
      <c r="B42" s="285">
        <f t="shared" si="4"/>
        <v>0</v>
      </c>
      <c r="C42" s="285">
        <v>42.0</v>
      </c>
      <c r="D42" s="285">
        <v>250.0</v>
      </c>
      <c r="E42" s="285">
        <v>750.0</v>
      </c>
      <c r="F42" s="285">
        <v>0.0</v>
      </c>
      <c r="G42" s="285">
        <v>0.0</v>
      </c>
      <c r="H42" s="285">
        <v>0.0</v>
      </c>
      <c r="I42" s="285">
        <v>35.0</v>
      </c>
      <c r="J42" s="285">
        <v>11.0</v>
      </c>
      <c r="K42" s="285">
        <v>0.0</v>
      </c>
      <c r="L42" s="285">
        <v>32.0</v>
      </c>
      <c r="M42" s="285">
        <v>135.0</v>
      </c>
      <c r="N42" s="285">
        <v>102.0</v>
      </c>
    </row>
    <row r="43" ht="15.75" customHeight="1">
      <c r="A43" s="285"/>
      <c r="B43" s="286"/>
      <c r="C43" s="286"/>
      <c r="D43" s="286"/>
      <c r="E43" s="286"/>
      <c r="F43" s="286"/>
      <c r="G43" s="286"/>
      <c r="H43" s="286"/>
      <c r="I43" s="286"/>
      <c r="J43" s="286"/>
      <c r="K43" s="286"/>
      <c r="L43" s="286"/>
      <c r="M43" s="286"/>
      <c r="N43" s="286"/>
    </row>
    <row r="44" ht="15.75" customHeight="1">
      <c r="A44" s="287" t="s">
        <v>33</v>
      </c>
      <c r="B44" s="287">
        <f>Sum(B25,B29)</f>
        <v>279891</v>
      </c>
      <c r="C44" s="287">
        <f t="shared" ref="C44:N44" si="5">Sum(C24:C42)</f>
        <v>4505</v>
      </c>
      <c r="D44" s="287">
        <f t="shared" si="5"/>
        <v>4455</v>
      </c>
      <c r="E44" s="287">
        <f t="shared" si="5"/>
        <v>4336</v>
      </c>
      <c r="F44" s="287">
        <f t="shared" si="5"/>
        <v>3857</v>
      </c>
      <c r="G44" s="287">
        <f t="shared" si="5"/>
        <v>3350</v>
      </c>
      <c r="H44" s="287">
        <f t="shared" si="5"/>
        <v>2304</v>
      </c>
      <c r="I44" s="287">
        <f t="shared" si="5"/>
        <v>3128</v>
      </c>
      <c r="J44" s="287">
        <f t="shared" si="5"/>
        <v>4280</v>
      </c>
      <c r="K44" s="287">
        <f t="shared" si="5"/>
        <v>4062</v>
      </c>
      <c r="L44" s="287">
        <f t="shared" si="5"/>
        <v>2754</v>
      </c>
      <c r="M44" s="287">
        <f t="shared" si="5"/>
        <v>2568</v>
      </c>
      <c r="N44" s="287">
        <f t="shared" si="5"/>
        <v>3944</v>
      </c>
    </row>
    <row r="45" ht="15.75" customHeight="1">
      <c r="A45" s="265"/>
      <c r="B45" s="265"/>
      <c r="C45" s="167"/>
      <c r="D45" s="167"/>
      <c r="E45" s="167"/>
      <c r="F45" s="167"/>
      <c r="G45" s="167"/>
      <c r="H45" s="167"/>
      <c r="I45" s="167"/>
      <c r="J45" s="167"/>
      <c r="K45" s="167"/>
      <c r="L45" s="167"/>
      <c r="M45" s="167"/>
      <c r="N45" s="167"/>
    </row>
    <row r="46" ht="15.75" customHeight="1">
      <c r="A46" s="265"/>
      <c r="B46" s="265"/>
      <c r="C46" s="265"/>
      <c r="D46" s="265"/>
      <c r="E46" s="265"/>
      <c r="F46" s="265"/>
      <c r="G46" s="265"/>
      <c r="H46" s="265"/>
      <c r="I46" s="265"/>
      <c r="J46" s="167"/>
      <c r="K46" s="265"/>
      <c r="L46" s="265"/>
      <c r="M46" s="265"/>
      <c r="N46" s="167"/>
    </row>
    <row r="47" ht="15.75" customHeight="1"/>
    <row r="48" ht="15.75" customHeight="1">
      <c r="A48" s="22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</row>
    <row r="49" ht="15.75" customHeight="1"/>
    <row r="50" ht="15.75" customHeight="1"/>
    <row r="51" ht="15.75" customHeight="1">
      <c r="A51" s="288" t="s">
        <v>579</v>
      </c>
      <c r="B51" s="288" t="s">
        <v>35</v>
      </c>
      <c r="C51" s="288" t="s">
        <v>0</v>
      </c>
      <c r="D51" s="288" t="s">
        <v>1</v>
      </c>
      <c r="E51" s="288" t="s">
        <v>2</v>
      </c>
      <c r="F51" s="288" t="s">
        <v>3</v>
      </c>
      <c r="G51" s="288" t="s">
        <v>4</v>
      </c>
      <c r="H51" s="288" t="s">
        <v>5</v>
      </c>
      <c r="I51" s="288" t="s">
        <v>6</v>
      </c>
      <c r="J51" s="288" t="s">
        <v>7</v>
      </c>
      <c r="K51" s="288" t="s">
        <v>8</v>
      </c>
      <c r="L51" s="288" t="s">
        <v>9</v>
      </c>
      <c r="M51" s="288" t="s">
        <v>10</v>
      </c>
      <c r="N51" s="288" t="s">
        <v>11</v>
      </c>
    </row>
    <row r="52" ht="15.75" customHeight="1">
      <c r="A52" s="288"/>
      <c r="B52" s="288"/>
      <c r="C52" s="288"/>
      <c r="D52" s="288"/>
      <c r="E52" s="288"/>
      <c r="F52" s="288"/>
      <c r="G52" s="288"/>
      <c r="H52" s="288"/>
      <c r="I52" s="288"/>
      <c r="J52" s="288"/>
      <c r="K52" s="288"/>
      <c r="L52" s="288"/>
      <c r="M52" s="288"/>
      <c r="N52" s="288"/>
    </row>
    <row r="53" ht="15.75" customHeight="1">
      <c r="A53" s="288" t="s">
        <v>399</v>
      </c>
      <c r="B53" s="288">
        <v>29763.0</v>
      </c>
      <c r="C53" s="288">
        <v>29763.0</v>
      </c>
      <c r="D53" s="288">
        <v>29382.0</v>
      </c>
      <c r="E53" s="288">
        <v>28991.0</v>
      </c>
      <c r="F53" s="288">
        <v>28607.0</v>
      </c>
      <c r="G53" s="288">
        <v>28219.0</v>
      </c>
      <c r="H53" s="288">
        <v>27835.0</v>
      </c>
      <c r="I53" s="288">
        <v>27445.0</v>
      </c>
      <c r="J53" s="288">
        <v>27057.0</v>
      </c>
      <c r="K53" s="288">
        <v>26276.0</v>
      </c>
      <c r="L53" s="288">
        <v>26000.0</v>
      </c>
      <c r="M53" s="289">
        <v>25890.0</v>
      </c>
      <c r="N53" s="289">
        <v>25600.0</v>
      </c>
    </row>
    <row r="54" ht="15.75" customHeight="1">
      <c r="A54" s="288" t="s">
        <v>401</v>
      </c>
      <c r="B54" s="288">
        <v>16059.0</v>
      </c>
      <c r="C54" s="288">
        <v>15953.0</v>
      </c>
      <c r="D54" s="288">
        <v>15843.0</v>
      </c>
      <c r="E54" s="288">
        <v>15744.0</v>
      </c>
      <c r="F54" s="288">
        <v>15644.0</v>
      </c>
      <c r="G54" s="288">
        <v>15550.0</v>
      </c>
      <c r="H54" s="288">
        <v>15428.0</v>
      </c>
      <c r="I54" s="288">
        <v>15338.0</v>
      </c>
      <c r="J54" s="288">
        <v>15220.0</v>
      </c>
      <c r="K54" s="288">
        <v>15184.0</v>
      </c>
      <c r="L54" s="288">
        <v>15050.0</v>
      </c>
      <c r="M54" s="289">
        <v>14929.0</v>
      </c>
      <c r="N54" s="289">
        <v>14978.0</v>
      </c>
    </row>
    <row r="55" ht="15.75" customHeight="1">
      <c r="A55" s="288" t="s">
        <v>403</v>
      </c>
      <c r="B55" s="288">
        <v>1664.0</v>
      </c>
      <c r="C55" s="288">
        <v>1653.0</v>
      </c>
      <c r="D55" s="288">
        <v>1642.0</v>
      </c>
      <c r="E55" s="288">
        <v>1631.0</v>
      </c>
      <c r="F55" s="288">
        <v>1621.0</v>
      </c>
      <c r="G55" s="288">
        <v>1610.0</v>
      </c>
      <c r="H55" s="288">
        <v>1599.0</v>
      </c>
      <c r="I55" s="288">
        <v>1590.0</v>
      </c>
      <c r="J55" s="288">
        <v>1578.0</v>
      </c>
      <c r="K55" s="288">
        <v>1574.0</v>
      </c>
      <c r="L55" s="288">
        <v>1560.0</v>
      </c>
      <c r="M55" s="289">
        <v>1547.0</v>
      </c>
      <c r="N55" s="289">
        <v>1552.0</v>
      </c>
    </row>
    <row r="56" ht="15.75" customHeight="1">
      <c r="A56" s="288" t="s">
        <v>287</v>
      </c>
      <c r="B56" s="288">
        <v>0.0</v>
      </c>
      <c r="C56" s="288">
        <v>0.0</v>
      </c>
      <c r="D56" s="288">
        <v>0.0</v>
      </c>
      <c r="E56" s="288">
        <v>0.0</v>
      </c>
      <c r="F56" s="288">
        <v>0.0</v>
      </c>
      <c r="G56" s="288">
        <v>0.0</v>
      </c>
      <c r="H56" s="288">
        <v>750.0</v>
      </c>
      <c r="I56" s="288">
        <v>0.0</v>
      </c>
      <c r="J56" s="288">
        <v>0.0</v>
      </c>
      <c r="K56" s="288">
        <v>0.0</v>
      </c>
      <c r="L56" s="288">
        <v>0.0</v>
      </c>
      <c r="M56" s="289">
        <v>0.0</v>
      </c>
      <c r="N56" s="289">
        <v>0.0</v>
      </c>
    </row>
    <row r="57" ht="15.75" customHeight="1">
      <c r="A57" s="290" t="s">
        <v>457</v>
      </c>
      <c r="B57" s="288">
        <v>1000.0</v>
      </c>
      <c r="C57" s="288">
        <v>0.0</v>
      </c>
      <c r="D57" s="288">
        <v>0.0</v>
      </c>
      <c r="E57" s="288">
        <v>1000.0</v>
      </c>
      <c r="F57" s="288">
        <v>3000.0</v>
      </c>
      <c r="G57" s="288">
        <v>5000.0</v>
      </c>
      <c r="H57" s="288">
        <v>4750.0</v>
      </c>
      <c r="I57" s="288">
        <v>7500.0</v>
      </c>
      <c r="J57" s="288">
        <v>5750.0</v>
      </c>
      <c r="K57" s="288">
        <v>6000.0</v>
      </c>
      <c r="L57" s="288">
        <v>5000.0</v>
      </c>
      <c r="M57" s="289">
        <v>5000.0</v>
      </c>
      <c r="N57" s="289">
        <v>4750.0</v>
      </c>
    </row>
    <row r="58" ht="15.75" customHeight="1">
      <c r="A58" s="290" t="s">
        <v>580</v>
      </c>
      <c r="B58" s="288">
        <v>2400.0</v>
      </c>
      <c r="C58" s="288">
        <v>1750.0</v>
      </c>
      <c r="D58" s="288">
        <v>1400.0</v>
      </c>
      <c r="E58" s="288">
        <v>2000.0</v>
      </c>
      <c r="F58" s="288">
        <v>1500.0</v>
      </c>
      <c r="G58" s="288">
        <v>1000.0</v>
      </c>
      <c r="H58" s="288">
        <v>900.0</v>
      </c>
      <c r="I58" s="288">
        <v>750.0</v>
      </c>
      <c r="J58" s="288">
        <v>0.0</v>
      </c>
      <c r="K58" s="288">
        <v>0.0</v>
      </c>
      <c r="L58" s="288">
        <v>0.0</v>
      </c>
      <c r="M58" s="289">
        <v>0.0</v>
      </c>
      <c r="N58" s="289">
        <v>0.0</v>
      </c>
    </row>
    <row r="59" ht="15.75" customHeight="1">
      <c r="A59" s="288" t="s">
        <v>288</v>
      </c>
      <c r="B59" s="288">
        <v>4000.0</v>
      </c>
      <c r="C59" s="288">
        <v>4400.0</v>
      </c>
      <c r="D59" s="288">
        <v>3000.0</v>
      </c>
      <c r="E59" s="288">
        <v>2000.0</v>
      </c>
      <c r="F59" s="288">
        <v>1100.0</v>
      </c>
      <c r="G59" s="288">
        <v>3000.0</v>
      </c>
      <c r="H59" s="288">
        <v>2500.0</v>
      </c>
      <c r="I59" s="288">
        <v>3500.0</v>
      </c>
      <c r="J59" s="288">
        <v>1000.0</v>
      </c>
      <c r="K59" s="288">
        <v>3500.0</v>
      </c>
      <c r="L59" s="288">
        <v>4000.0</v>
      </c>
      <c r="M59" s="289">
        <v>5000.0</v>
      </c>
      <c r="N59" s="289">
        <v>5750.0</v>
      </c>
    </row>
    <row r="60" ht="15.75" customHeight="1">
      <c r="A60" s="288" t="s">
        <v>458</v>
      </c>
      <c r="B60" s="288">
        <v>10300.0</v>
      </c>
      <c r="C60" s="288">
        <v>0.0</v>
      </c>
      <c r="D60" s="288">
        <v>0.0</v>
      </c>
      <c r="E60" s="288">
        <v>0.0</v>
      </c>
      <c r="F60" s="288">
        <v>0.0</v>
      </c>
      <c r="G60" s="288">
        <v>0.0</v>
      </c>
      <c r="H60" s="288">
        <v>10300.0</v>
      </c>
      <c r="I60" s="288">
        <v>9500.0</v>
      </c>
      <c r="J60" s="288">
        <v>9000.0</v>
      </c>
      <c r="K60" s="288">
        <v>8900.0</v>
      </c>
      <c r="L60" s="288">
        <v>8500.0</v>
      </c>
      <c r="M60" s="289">
        <v>8500.0</v>
      </c>
      <c r="N60" s="289">
        <v>8250.0</v>
      </c>
    </row>
    <row r="61" ht="15.75" customHeight="1">
      <c r="A61" s="288"/>
      <c r="B61" s="288"/>
      <c r="C61" s="289"/>
      <c r="D61" s="288"/>
      <c r="E61" s="289"/>
      <c r="F61" s="288"/>
      <c r="G61" s="288"/>
      <c r="H61" s="288"/>
      <c r="I61" s="288"/>
      <c r="J61" s="288"/>
      <c r="K61" s="288"/>
      <c r="L61" s="288"/>
      <c r="M61" s="289"/>
      <c r="N61" s="289"/>
    </row>
    <row r="62" ht="15.75" customHeight="1">
      <c r="A62" s="291" t="s">
        <v>291</v>
      </c>
      <c r="B62" s="291">
        <f t="shared" ref="B62:N62" si="6">Sum(B52:B61)</f>
        <v>65186</v>
      </c>
      <c r="C62" s="291">
        <f t="shared" si="6"/>
        <v>53519</v>
      </c>
      <c r="D62" s="291">
        <f t="shared" si="6"/>
        <v>51267</v>
      </c>
      <c r="E62" s="291">
        <f t="shared" si="6"/>
        <v>51366</v>
      </c>
      <c r="F62" s="291">
        <f t="shared" si="6"/>
        <v>51472</v>
      </c>
      <c r="G62" s="291">
        <f t="shared" si="6"/>
        <v>54379</v>
      </c>
      <c r="H62" s="291">
        <f t="shared" si="6"/>
        <v>64062</v>
      </c>
      <c r="I62" s="291">
        <f t="shared" si="6"/>
        <v>65623</v>
      </c>
      <c r="J62" s="291">
        <f t="shared" si="6"/>
        <v>59605</v>
      </c>
      <c r="K62" s="291">
        <f t="shared" si="6"/>
        <v>61434</v>
      </c>
      <c r="L62" s="291">
        <f t="shared" si="6"/>
        <v>60110</v>
      </c>
      <c r="M62" s="292">
        <f t="shared" si="6"/>
        <v>60866</v>
      </c>
      <c r="N62" s="292">
        <f t="shared" si="6"/>
        <v>60880</v>
      </c>
    </row>
    <row r="63" ht="15.75" customHeight="1"/>
    <row r="64" ht="15.75" customHeight="1">
      <c r="J64" s="130"/>
    </row>
    <row r="65" ht="15.75" customHeight="1"/>
    <row r="66" ht="15.75" customHeight="1"/>
    <row r="67" ht="15.75" customHeight="1"/>
    <row r="68" ht="15.75" customHeight="1">
      <c r="A68" s="291" t="s">
        <v>581</v>
      </c>
      <c r="B68" s="291" t="s">
        <v>35</v>
      </c>
      <c r="C68" s="291" t="s">
        <v>0</v>
      </c>
      <c r="D68" s="291" t="s">
        <v>1</v>
      </c>
      <c r="E68" s="291" t="s">
        <v>2</v>
      </c>
      <c r="F68" s="291" t="s">
        <v>3</v>
      </c>
      <c r="G68" s="291" t="s">
        <v>4</v>
      </c>
      <c r="H68" s="291" t="s">
        <v>5</v>
      </c>
      <c r="I68" s="291" t="s">
        <v>6</v>
      </c>
      <c r="J68" s="291" t="s">
        <v>7</v>
      </c>
      <c r="K68" s="291" t="s">
        <v>8</v>
      </c>
      <c r="L68" s="291" t="s">
        <v>9</v>
      </c>
      <c r="M68" s="291" t="s">
        <v>10</v>
      </c>
      <c r="N68" s="291" t="s">
        <v>11</v>
      </c>
    </row>
    <row r="69" ht="15.75" customHeight="1">
      <c r="A69" s="291"/>
      <c r="B69" s="291"/>
      <c r="C69" s="291"/>
      <c r="D69" s="291"/>
      <c r="E69" s="291"/>
      <c r="F69" s="291"/>
      <c r="G69" s="291"/>
      <c r="H69" s="291"/>
      <c r="I69" s="291"/>
      <c r="J69" s="291"/>
      <c r="K69" s="291"/>
      <c r="L69" s="291"/>
      <c r="M69" s="291"/>
      <c r="N69" s="291"/>
    </row>
    <row r="70" ht="15.75" customHeight="1">
      <c r="A70" s="291" t="s">
        <v>511</v>
      </c>
      <c r="B70" s="291">
        <v>0.0</v>
      </c>
      <c r="C70" s="293"/>
      <c r="D70" s="293"/>
      <c r="E70" s="293"/>
      <c r="F70" s="293"/>
      <c r="G70" s="293"/>
      <c r="H70" s="293"/>
      <c r="I70" s="293"/>
      <c r="J70" s="293"/>
      <c r="K70" s="293"/>
      <c r="L70" s="293"/>
      <c r="M70" s="293"/>
      <c r="N70" s="293"/>
    </row>
    <row r="71" ht="15.75" customHeight="1">
      <c r="A71" s="291" t="s">
        <v>460</v>
      </c>
      <c r="B71" s="291">
        <v>0.0</v>
      </c>
      <c r="C71" s="293"/>
      <c r="D71" s="293" t="s">
        <v>582</v>
      </c>
      <c r="E71" s="293" t="s">
        <v>583</v>
      </c>
      <c r="F71" s="293"/>
      <c r="G71" s="293"/>
      <c r="H71" s="293"/>
      <c r="I71" s="293"/>
      <c r="J71" s="293"/>
      <c r="K71" s="293"/>
      <c r="L71" s="293"/>
      <c r="M71" s="293"/>
      <c r="N71" s="293"/>
    </row>
    <row r="72" ht="15.75" customHeight="1">
      <c r="A72" s="294" t="s">
        <v>291</v>
      </c>
      <c r="B72" s="294">
        <f>Sum(B69:B71)</f>
        <v>0</v>
      </c>
      <c r="C72" s="294"/>
      <c r="D72" s="294">
        <v>2180.0</v>
      </c>
      <c r="E72" s="294">
        <v>4800.0</v>
      </c>
      <c r="F72" s="294"/>
      <c r="G72" s="294"/>
      <c r="H72" s="294"/>
      <c r="I72" s="294"/>
      <c r="J72" s="294"/>
      <c r="K72" s="294"/>
      <c r="L72" s="294"/>
      <c r="M72" s="294"/>
      <c r="N72" s="294"/>
    </row>
    <row r="73" ht="15.75" customHeight="1"/>
    <row r="74" ht="15.75" customHeight="1"/>
    <row r="75" ht="15.75" customHeight="1"/>
    <row r="76" ht="15.75" customHeight="1">
      <c r="A76" s="295" t="s">
        <v>584</v>
      </c>
      <c r="B76" s="295"/>
      <c r="C76" s="295" t="s">
        <v>585</v>
      </c>
      <c r="D76" s="295" t="s">
        <v>586</v>
      </c>
      <c r="E76" s="295" t="s">
        <v>587</v>
      </c>
      <c r="F76" s="295" t="s">
        <v>562</v>
      </c>
      <c r="G76" s="295" t="s">
        <v>533</v>
      </c>
      <c r="H76" s="295" t="s">
        <v>534</v>
      </c>
      <c r="I76" s="295" t="s">
        <v>535</v>
      </c>
      <c r="J76" s="295" t="s">
        <v>536</v>
      </c>
      <c r="K76" s="295" t="s">
        <v>537</v>
      </c>
      <c r="L76" s="295" t="s">
        <v>538</v>
      </c>
      <c r="M76" s="295" t="s">
        <v>539</v>
      </c>
      <c r="N76" s="295" t="s">
        <v>540</v>
      </c>
    </row>
    <row r="77" ht="15.75" customHeight="1">
      <c r="A77" s="296"/>
      <c r="B77" s="296"/>
      <c r="C77" s="296"/>
      <c r="D77" s="296"/>
      <c r="E77" s="296"/>
      <c r="F77" s="296"/>
      <c r="G77" s="296"/>
      <c r="H77" s="296"/>
      <c r="I77" s="296"/>
      <c r="J77" s="296"/>
      <c r="K77" s="296"/>
      <c r="L77" s="296"/>
      <c r="M77" s="296"/>
      <c r="N77" s="296"/>
    </row>
    <row r="78" ht="15.75" customHeight="1">
      <c r="A78" s="296" t="s">
        <v>516</v>
      </c>
      <c r="B78" s="296"/>
      <c r="C78" s="296"/>
      <c r="D78" s="296"/>
      <c r="E78" s="296"/>
      <c r="F78" s="296"/>
      <c r="G78" s="296"/>
      <c r="H78" s="296"/>
      <c r="I78" s="296"/>
      <c r="J78" s="296"/>
      <c r="K78" s="296"/>
      <c r="L78" s="296"/>
      <c r="M78" s="296"/>
      <c r="N78" s="296"/>
    </row>
    <row r="79" ht="15.75" customHeight="1">
      <c r="A79" s="296" t="s">
        <v>517</v>
      </c>
      <c r="B79" s="296"/>
      <c r="C79" s="296"/>
      <c r="D79" s="296"/>
      <c r="E79" s="296"/>
      <c r="F79" s="296"/>
      <c r="G79" s="296"/>
      <c r="H79" s="296"/>
      <c r="I79" s="296"/>
      <c r="J79" s="296"/>
      <c r="K79" s="296"/>
      <c r="L79" s="296"/>
      <c r="M79" s="296"/>
      <c r="N79" s="296"/>
    </row>
    <row r="80" ht="15.75" customHeight="1">
      <c r="A80" s="296" t="s">
        <v>518</v>
      </c>
      <c r="B80" s="296"/>
      <c r="C80" s="296"/>
      <c r="D80" s="296"/>
      <c r="E80" s="296"/>
      <c r="F80" s="296"/>
      <c r="G80" s="296"/>
      <c r="H80" s="296"/>
      <c r="I80" s="296"/>
      <c r="J80" s="296"/>
      <c r="K80" s="296"/>
      <c r="L80" s="296"/>
      <c r="M80" s="296"/>
      <c r="N80" s="296"/>
    </row>
    <row r="81" ht="15.75" customHeight="1">
      <c r="A81" s="296" t="s">
        <v>519</v>
      </c>
      <c r="B81" s="296"/>
      <c r="C81" s="296"/>
      <c r="D81" s="296">
        <v>3773.23</v>
      </c>
      <c r="E81" s="296">
        <v>3805.29</v>
      </c>
      <c r="F81" s="296">
        <v>4332.15</v>
      </c>
      <c r="G81" s="296"/>
      <c r="H81" s="296"/>
      <c r="I81" s="296"/>
      <c r="J81" s="296"/>
      <c r="K81" s="296"/>
      <c r="L81" s="296"/>
      <c r="M81" s="296"/>
      <c r="N81" s="296"/>
    </row>
    <row r="82" ht="15.75" customHeight="1">
      <c r="A82" s="296" t="s">
        <v>520</v>
      </c>
      <c r="B82" s="296"/>
      <c r="C82" s="296"/>
      <c r="D82" s="296"/>
      <c r="E82" s="296"/>
      <c r="F82" s="296"/>
      <c r="G82" s="296"/>
      <c r="H82" s="296"/>
      <c r="I82" s="296"/>
      <c r="J82" s="296"/>
      <c r="K82" s="296"/>
      <c r="L82" s="296"/>
      <c r="M82" s="296"/>
      <c r="N82" s="296"/>
    </row>
    <row r="83" ht="15.75" customHeight="1">
      <c r="A83" s="296" t="s">
        <v>521</v>
      </c>
      <c r="B83" s="296"/>
      <c r="C83" s="296"/>
      <c r="D83" s="296"/>
      <c r="E83" s="296"/>
      <c r="F83" s="296"/>
      <c r="G83" s="296"/>
      <c r="H83" s="296"/>
      <c r="I83" s="296"/>
      <c r="J83" s="296"/>
      <c r="K83" s="296"/>
      <c r="L83" s="296"/>
      <c r="M83" s="296"/>
      <c r="N83" s="296"/>
    </row>
    <row r="84" ht="15.75" customHeight="1">
      <c r="A84" s="296"/>
      <c r="B84" s="296"/>
      <c r="C84" s="296"/>
      <c r="D84" s="296"/>
      <c r="E84" s="296"/>
      <c r="F84" s="296"/>
      <c r="G84" s="296"/>
      <c r="H84" s="296"/>
      <c r="I84" s="296"/>
      <c r="J84" s="296"/>
      <c r="K84" s="296"/>
      <c r="L84" s="296"/>
      <c r="M84" s="296"/>
      <c r="N84" s="296"/>
    </row>
    <row r="85" ht="15.75" customHeight="1">
      <c r="A85" s="296"/>
      <c r="B85" s="296"/>
      <c r="C85" s="296"/>
      <c r="D85" s="296"/>
      <c r="E85" s="296"/>
      <c r="F85" s="296"/>
      <c r="G85" s="296"/>
      <c r="H85" s="296"/>
      <c r="I85" s="296"/>
      <c r="J85" s="296"/>
      <c r="K85" s="296"/>
      <c r="L85" s="296"/>
      <c r="M85" s="296"/>
      <c r="N85" s="296"/>
    </row>
    <row r="86" ht="15.75" customHeight="1">
      <c r="A86" s="296"/>
      <c r="B86" s="296"/>
      <c r="C86" s="296"/>
      <c r="D86" s="296"/>
      <c r="E86" s="296"/>
      <c r="F86" s="296"/>
      <c r="G86" s="296"/>
      <c r="H86" s="296"/>
      <c r="I86" s="296"/>
      <c r="J86" s="296"/>
      <c r="K86" s="296"/>
      <c r="L86" s="296"/>
      <c r="M86" s="296"/>
      <c r="N86" s="296"/>
    </row>
    <row r="87" ht="15.75" customHeight="1">
      <c r="A87" s="297"/>
      <c r="B87" s="297"/>
      <c r="C87" s="297"/>
      <c r="D87" s="297"/>
      <c r="E87" s="297"/>
      <c r="F87" s="297"/>
      <c r="G87" s="297"/>
      <c r="H87" s="297"/>
      <c r="I87" s="297"/>
      <c r="J87" s="297"/>
      <c r="K87" s="297"/>
      <c r="L87" s="297"/>
      <c r="M87" s="297"/>
      <c r="N87" s="297"/>
    </row>
    <row r="88" ht="15.75" customHeight="1">
      <c r="A88" s="297"/>
      <c r="B88" s="297"/>
      <c r="C88" s="297"/>
      <c r="D88" s="297"/>
      <c r="E88" s="297"/>
      <c r="F88" s="297"/>
      <c r="G88" s="297"/>
      <c r="H88" s="297"/>
      <c r="I88" s="297"/>
      <c r="J88" s="297"/>
      <c r="K88" s="297"/>
      <c r="L88" s="297"/>
      <c r="M88" s="297"/>
      <c r="N88" s="297"/>
    </row>
    <row r="89" ht="15.75" customHeight="1">
      <c r="A89" s="297"/>
      <c r="B89" s="297"/>
      <c r="C89" s="297"/>
      <c r="D89" s="297"/>
      <c r="E89" s="297"/>
      <c r="F89" s="297"/>
      <c r="G89" s="297"/>
      <c r="H89" s="297"/>
      <c r="I89" s="297"/>
      <c r="J89" s="297"/>
      <c r="K89" s="297"/>
      <c r="L89" s="297"/>
      <c r="M89" s="297"/>
      <c r="N89" s="297"/>
    </row>
    <row r="90" ht="15.75" customHeight="1">
      <c r="A90" s="297"/>
      <c r="B90" s="297"/>
      <c r="C90" s="297"/>
      <c r="D90" s="297"/>
      <c r="E90" s="297"/>
      <c r="F90" s="297"/>
      <c r="G90" s="297"/>
      <c r="H90" s="297"/>
      <c r="I90" s="297"/>
      <c r="J90" s="297"/>
      <c r="K90" s="297"/>
      <c r="L90" s="297"/>
      <c r="M90" s="297"/>
      <c r="N90" s="297"/>
    </row>
    <row r="91" ht="15.75" customHeight="1">
      <c r="A91" s="297"/>
      <c r="B91" s="297"/>
      <c r="C91" s="297"/>
      <c r="D91" s="297"/>
      <c r="E91" s="297"/>
      <c r="F91" s="297"/>
      <c r="G91" s="298"/>
      <c r="H91" s="297"/>
      <c r="I91" s="297"/>
      <c r="J91" s="297"/>
      <c r="K91" s="297"/>
      <c r="L91" s="297"/>
      <c r="M91" s="297"/>
      <c r="N91" s="297"/>
    </row>
    <row r="92" ht="15.75" customHeight="1">
      <c r="A92" s="297"/>
      <c r="B92" s="297"/>
      <c r="C92" s="297"/>
      <c r="D92" s="297"/>
      <c r="E92" s="297"/>
      <c r="F92" s="297"/>
      <c r="G92" s="298"/>
      <c r="H92" s="297"/>
      <c r="I92" s="297"/>
      <c r="J92" s="297"/>
      <c r="K92" s="297"/>
      <c r="L92" s="297"/>
      <c r="M92" s="297"/>
      <c r="N92" s="297"/>
    </row>
    <row r="93" ht="15.75" customHeight="1">
      <c r="A93" s="297"/>
      <c r="B93" s="297"/>
      <c r="C93" s="297"/>
      <c r="D93" s="297"/>
      <c r="E93" s="297"/>
      <c r="F93" s="297"/>
      <c r="G93" s="298"/>
      <c r="H93" s="297"/>
      <c r="I93" s="297"/>
      <c r="J93" s="297"/>
      <c r="K93" s="297"/>
      <c r="L93" s="297"/>
      <c r="M93" s="297"/>
      <c r="N93" s="297"/>
    </row>
    <row r="94" ht="15.75" customHeight="1">
      <c r="A94" s="297"/>
      <c r="B94" s="297"/>
      <c r="C94" s="297"/>
      <c r="D94" s="297"/>
      <c r="E94" s="297"/>
      <c r="F94" s="297"/>
      <c r="G94" s="298"/>
      <c r="H94" s="297"/>
      <c r="I94" s="297"/>
      <c r="J94" s="297"/>
      <c r="K94" s="297"/>
      <c r="L94" s="297"/>
      <c r="M94" s="297"/>
      <c r="N94" s="297"/>
    </row>
    <row r="95" ht="15.75" customHeight="1">
      <c r="A95" s="297"/>
      <c r="B95" s="297"/>
      <c r="C95" s="297"/>
      <c r="D95" s="297"/>
      <c r="E95" s="297"/>
      <c r="F95" s="297"/>
      <c r="G95" s="298"/>
      <c r="H95" s="297"/>
      <c r="I95" s="297"/>
      <c r="J95" s="297"/>
      <c r="K95" s="297"/>
      <c r="L95" s="297"/>
      <c r="M95" s="297"/>
      <c r="N95" s="297"/>
    </row>
    <row r="96" ht="15.75" customHeight="1">
      <c r="A96" s="297"/>
      <c r="B96" s="297"/>
      <c r="C96" s="297"/>
      <c r="D96" s="297"/>
      <c r="E96" s="297"/>
      <c r="F96" s="297"/>
      <c r="G96" s="298"/>
      <c r="H96" s="297"/>
      <c r="I96" s="297"/>
      <c r="J96" s="297"/>
      <c r="K96" s="297"/>
      <c r="L96" s="297"/>
      <c r="M96" s="297"/>
      <c r="N96" s="297"/>
    </row>
    <row r="97" ht="15.75" customHeight="1">
      <c r="A97" s="297"/>
      <c r="B97" s="297"/>
      <c r="C97" s="297"/>
      <c r="D97" s="297"/>
      <c r="E97" s="297"/>
      <c r="F97" s="297"/>
      <c r="G97" s="297"/>
      <c r="H97" s="297"/>
      <c r="I97" s="297"/>
      <c r="J97" s="297"/>
      <c r="K97" s="297"/>
      <c r="L97" s="297"/>
      <c r="M97" s="297"/>
      <c r="N97" s="297"/>
    </row>
    <row r="98" ht="15.7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>
      <c r="A108" s="206" t="s">
        <v>588</v>
      </c>
      <c r="B108" s="206" t="s">
        <v>35</v>
      </c>
      <c r="C108" s="206" t="s">
        <v>0</v>
      </c>
      <c r="D108" s="206" t="s">
        <v>1</v>
      </c>
      <c r="E108" s="206" t="s">
        <v>2</v>
      </c>
      <c r="F108" s="206" t="s">
        <v>3</v>
      </c>
      <c r="G108" s="206" t="s">
        <v>4</v>
      </c>
      <c r="H108" s="206" t="s">
        <v>5</v>
      </c>
      <c r="I108" s="206" t="s">
        <v>6</v>
      </c>
      <c r="J108" s="206" t="s">
        <v>7</v>
      </c>
      <c r="K108" s="206" t="s">
        <v>8</v>
      </c>
      <c r="L108" s="206" t="s">
        <v>9</v>
      </c>
      <c r="M108" s="206" t="s">
        <v>10</v>
      </c>
      <c r="N108" s="206" t="s">
        <v>11</v>
      </c>
    </row>
    <row r="109" ht="15.75" customHeight="1">
      <c r="A109" s="206"/>
      <c r="B109" s="206"/>
      <c r="C109" s="206"/>
      <c r="D109" s="206"/>
      <c r="E109" s="206"/>
      <c r="F109" s="206"/>
      <c r="G109" s="206"/>
      <c r="H109" s="206"/>
      <c r="I109" s="206"/>
      <c r="J109" s="206"/>
      <c r="K109" s="206"/>
      <c r="L109" s="206"/>
      <c r="M109" s="206"/>
      <c r="N109" s="206"/>
    </row>
    <row r="110" ht="15.75" customHeight="1">
      <c r="A110" s="206" t="s">
        <v>589</v>
      </c>
      <c r="B110" s="206">
        <v>0.0</v>
      </c>
      <c r="C110" s="206"/>
      <c r="D110" s="206"/>
      <c r="E110" s="206">
        <v>500.0</v>
      </c>
      <c r="F110" s="206"/>
      <c r="G110" s="206"/>
      <c r="H110" s="206"/>
      <c r="I110" s="206"/>
      <c r="J110" s="206"/>
      <c r="K110" s="206"/>
      <c r="L110" s="206"/>
      <c r="M110" s="206"/>
      <c r="N110" s="206"/>
    </row>
    <row r="111" ht="15.75" customHeight="1">
      <c r="A111" s="206" t="s">
        <v>590</v>
      </c>
      <c r="B111" s="206">
        <v>7500.0</v>
      </c>
      <c r="C111" s="206"/>
      <c r="D111" s="206"/>
      <c r="E111" s="206"/>
      <c r="F111" s="206"/>
      <c r="G111" s="206"/>
      <c r="H111" s="206"/>
      <c r="I111" s="206"/>
      <c r="J111" s="206"/>
      <c r="K111" s="206"/>
      <c r="L111" s="206"/>
      <c r="M111" s="206"/>
      <c r="N111" s="206"/>
    </row>
    <row r="112" ht="15.75" customHeight="1">
      <c r="A112" s="206" t="s">
        <v>591</v>
      </c>
      <c r="B112" s="206">
        <v>44355.0</v>
      </c>
      <c r="C112" s="206"/>
      <c r="D112" s="206"/>
      <c r="E112" s="206"/>
      <c r="F112" s="206"/>
      <c r="G112" s="206"/>
      <c r="H112" s="206"/>
      <c r="I112" s="206"/>
      <c r="J112" s="206"/>
      <c r="K112" s="206"/>
      <c r="L112" s="206"/>
      <c r="M112" s="206"/>
      <c r="N112" s="206"/>
    </row>
    <row r="113" ht="15.75" customHeight="1">
      <c r="A113" s="206" t="s">
        <v>592</v>
      </c>
      <c r="B113" s="206">
        <v>2600.0</v>
      </c>
      <c r="C113" s="206"/>
      <c r="D113" s="206"/>
      <c r="E113" s="206"/>
      <c r="F113" s="206"/>
      <c r="G113" s="206"/>
      <c r="H113" s="206"/>
      <c r="I113" s="206"/>
      <c r="J113" s="206"/>
      <c r="K113" s="206"/>
      <c r="L113" s="206"/>
      <c r="M113" s="206"/>
      <c r="N113" s="206"/>
    </row>
    <row r="114" ht="15.75" customHeight="1">
      <c r="A114" s="206" t="s">
        <v>593</v>
      </c>
      <c r="B114" s="206">
        <v>9200.0</v>
      </c>
      <c r="C114" s="206"/>
      <c r="D114" s="206"/>
      <c r="E114" s="206"/>
      <c r="F114" s="206"/>
      <c r="G114" s="206"/>
      <c r="H114" s="206"/>
      <c r="I114" s="206"/>
      <c r="J114" s="206"/>
      <c r="K114" s="206"/>
      <c r="L114" s="206"/>
      <c r="M114" s="206"/>
      <c r="N114" s="206"/>
    </row>
    <row r="115" ht="15.75" customHeight="1">
      <c r="A115" s="206" t="s">
        <v>594</v>
      </c>
      <c r="B115" s="206">
        <v>5000.0</v>
      </c>
      <c r="C115" s="206"/>
      <c r="D115" s="206"/>
      <c r="E115" s="206"/>
      <c r="F115" s="206"/>
      <c r="G115" s="206"/>
      <c r="H115" s="206"/>
      <c r="I115" s="206"/>
      <c r="J115" s="206"/>
      <c r="K115" s="206"/>
      <c r="L115" s="206"/>
      <c r="M115" s="206"/>
      <c r="N115" s="206"/>
    </row>
    <row r="116" ht="15.75" customHeight="1">
      <c r="A116" s="206" t="s">
        <v>595</v>
      </c>
      <c r="B116" s="206">
        <v>15000.0</v>
      </c>
      <c r="C116" s="206"/>
      <c r="D116" s="206"/>
      <c r="E116" s="206">
        <v>20000.0</v>
      </c>
      <c r="F116" s="206"/>
      <c r="G116" s="206"/>
      <c r="H116" s="206"/>
      <c r="I116" s="206"/>
      <c r="J116" s="206"/>
      <c r="K116" s="206"/>
      <c r="L116" s="206"/>
      <c r="M116" s="206"/>
      <c r="N116" s="206"/>
    </row>
    <row r="117" ht="15.75" customHeight="1">
      <c r="A117" s="206" t="s">
        <v>596</v>
      </c>
      <c r="B117" s="206">
        <v>15000.0</v>
      </c>
      <c r="C117" s="206"/>
      <c r="D117" s="206"/>
      <c r="E117" s="206">
        <v>20000.0</v>
      </c>
      <c r="F117" s="206"/>
      <c r="G117" s="206"/>
      <c r="H117" s="206"/>
      <c r="I117" s="206"/>
      <c r="J117" s="206"/>
      <c r="K117" s="206"/>
      <c r="L117" s="206"/>
      <c r="M117" s="206"/>
      <c r="N117" s="206"/>
    </row>
    <row r="118" ht="15.75" customHeight="1">
      <c r="A118" s="206"/>
      <c r="B118" s="206"/>
      <c r="C118" s="206"/>
      <c r="D118" s="206"/>
      <c r="E118" s="206"/>
      <c r="F118" s="206"/>
      <c r="G118" s="206"/>
      <c r="H118" s="206"/>
      <c r="I118" s="206"/>
      <c r="J118" s="209"/>
      <c r="K118" s="206"/>
      <c r="L118" s="206"/>
      <c r="M118" s="206"/>
      <c r="N118" s="206"/>
    </row>
    <row r="119" ht="15.75" customHeight="1">
      <c r="A119" s="299" t="s">
        <v>597</v>
      </c>
      <c r="B119" s="299">
        <f>Sum(B110:B117)</f>
        <v>98655</v>
      </c>
      <c r="C119" s="299"/>
      <c r="D119" s="299"/>
      <c r="E119" s="299"/>
      <c r="F119" s="299"/>
      <c r="G119" s="299"/>
      <c r="H119" s="299"/>
      <c r="I119" s="299"/>
      <c r="J119" s="299"/>
      <c r="K119" s="299"/>
      <c r="L119" s="299"/>
      <c r="M119" s="299"/>
      <c r="N119" s="299"/>
    </row>
    <row r="120" ht="15.75" customHeight="1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</row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>
      <c r="A247" s="295" t="s">
        <v>598</v>
      </c>
      <c r="B247" s="296"/>
      <c r="C247" s="300">
        <v>42736.0</v>
      </c>
      <c r="D247" s="300">
        <v>42767.0</v>
      </c>
      <c r="E247" s="300">
        <v>42795.0</v>
      </c>
      <c r="F247" s="300">
        <v>42826.0</v>
      </c>
      <c r="G247" s="301">
        <v>42856.0</v>
      </c>
      <c r="H247" s="300">
        <v>42887.0</v>
      </c>
      <c r="I247" s="300">
        <v>42917.0</v>
      </c>
      <c r="J247" s="300">
        <v>42948.0</v>
      </c>
      <c r="K247" s="300">
        <v>42979.0</v>
      </c>
      <c r="L247" s="300">
        <v>43009.0</v>
      </c>
      <c r="M247" s="300">
        <v>43040.0</v>
      </c>
      <c r="N247" s="300">
        <v>43070.0</v>
      </c>
    </row>
    <row r="248" ht="15.75" customHeight="1">
      <c r="A248" s="296" t="s">
        <v>599</v>
      </c>
      <c r="B248" s="296"/>
      <c r="C248" s="296"/>
      <c r="D248" s="296"/>
      <c r="E248" s="296"/>
      <c r="F248" s="296"/>
      <c r="G248" s="296"/>
      <c r="H248" s="296">
        <v>600.0</v>
      </c>
      <c r="I248" s="296"/>
      <c r="J248" s="296"/>
      <c r="K248" s="296"/>
      <c r="L248" s="296"/>
      <c r="M248" s="296">
        <v>500.0</v>
      </c>
      <c r="N248" s="296"/>
    </row>
    <row r="249" ht="15.75" customHeight="1">
      <c r="A249" s="296" t="s">
        <v>600</v>
      </c>
      <c r="B249" s="296"/>
      <c r="C249" s="296"/>
      <c r="D249" s="296"/>
      <c r="E249" s="296"/>
      <c r="F249" s="296"/>
      <c r="G249" s="296">
        <v>325.0</v>
      </c>
      <c r="H249" s="296"/>
      <c r="I249" s="296"/>
      <c r="J249" s="296"/>
      <c r="K249" s="296"/>
      <c r="L249" s="296"/>
      <c r="M249" s="296"/>
      <c r="N249" s="296"/>
    </row>
    <row r="250" ht="15.75" customHeight="1">
      <c r="A250" s="296"/>
      <c r="B250" s="296"/>
      <c r="C250" s="296"/>
      <c r="D250" s="296"/>
      <c r="E250" s="296"/>
      <c r="F250" s="296"/>
      <c r="G250" s="296"/>
      <c r="H250" s="296"/>
      <c r="I250" s="296"/>
      <c r="J250" s="296"/>
      <c r="K250" s="296"/>
      <c r="L250" s="296"/>
      <c r="M250" s="296"/>
      <c r="N250" s="296"/>
    </row>
    <row r="251" ht="15.75" customHeight="1">
      <c r="A251" s="296"/>
      <c r="B251" s="296"/>
      <c r="C251" s="296"/>
      <c r="D251" s="296"/>
      <c r="E251" s="296"/>
      <c r="F251" s="296"/>
      <c r="G251" s="296"/>
      <c r="H251" s="296"/>
      <c r="I251" s="296"/>
      <c r="J251" s="296"/>
      <c r="K251" s="296"/>
      <c r="L251" s="296"/>
      <c r="M251" s="296"/>
      <c r="N251" s="296"/>
    </row>
    <row r="252" ht="15.75" customHeight="1">
      <c r="A252" s="296"/>
      <c r="B252" s="296"/>
      <c r="C252" s="296"/>
      <c r="D252" s="296"/>
      <c r="E252" s="296"/>
      <c r="F252" s="296"/>
      <c r="G252" s="296"/>
      <c r="H252" s="296"/>
      <c r="I252" s="296"/>
      <c r="J252" s="296"/>
      <c r="K252" s="296"/>
      <c r="L252" s="296"/>
      <c r="M252" s="296"/>
      <c r="N252" s="296"/>
    </row>
    <row r="253" ht="15.75" customHeight="1">
      <c r="A253" s="296"/>
      <c r="B253" s="296"/>
      <c r="C253" s="296"/>
      <c r="D253" s="296"/>
      <c r="E253" s="296"/>
      <c r="F253" s="296"/>
      <c r="G253" s="296"/>
      <c r="H253" s="296"/>
      <c r="I253" s="296"/>
      <c r="J253" s="296"/>
      <c r="K253" s="296"/>
      <c r="L253" s="296"/>
      <c r="M253" s="296"/>
      <c r="N253" s="296"/>
    </row>
    <row r="254" ht="15.75" customHeight="1">
      <c r="A254" s="296"/>
      <c r="B254" s="296"/>
      <c r="C254" s="296"/>
      <c r="D254" s="296"/>
      <c r="E254" s="296"/>
      <c r="F254" s="296"/>
      <c r="G254" s="296"/>
      <c r="H254" s="296"/>
      <c r="I254" s="296"/>
      <c r="J254" s="296"/>
      <c r="K254" s="296"/>
      <c r="L254" s="296"/>
      <c r="M254" s="296"/>
      <c r="N254" s="296"/>
    </row>
    <row r="255" ht="15.75" customHeight="1">
      <c r="A255" s="296"/>
      <c r="B255" s="296"/>
      <c r="C255" s="296"/>
      <c r="D255" s="296"/>
      <c r="E255" s="296"/>
      <c r="F255" s="296"/>
      <c r="G255" s="295"/>
      <c r="H255" s="296"/>
      <c r="I255" s="296"/>
      <c r="J255" s="296"/>
      <c r="K255" s="296"/>
      <c r="L255" s="296"/>
      <c r="M255" s="296"/>
      <c r="N255" s="296"/>
    </row>
    <row r="256" ht="15.75" customHeight="1">
      <c r="A256" s="296"/>
      <c r="B256" s="296"/>
      <c r="C256" s="296"/>
      <c r="D256" s="296"/>
      <c r="E256" s="296"/>
      <c r="F256" s="296"/>
      <c r="G256" s="295"/>
      <c r="H256" s="296"/>
      <c r="I256" s="296"/>
      <c r="J256" s="296"/>
      <c r="K256" s="296"/>
      <c r="L256" s="296"/>
      <c r="M256" s="296"/>
      <c r="N256" s="296"/>
    </row>
    <row r="257" ht="15.75" customHeight="1">
      <c r="A257" s="296"/>
      <c r="B257" s="296"/>
      <c r="C257" s="296"/>
      <c r="D257" s="296"/>
      <c r="E257" s="296"/>
      <c r="F257" s="296"/>
      <c r="G257" s="295"/>
      <c r="H257" s="296"/>
      <c r="I257" s="296"/>
      <c r="J257" s="296"/>
      <c r="K257" s="296"/>
      <c r="L257" s="296"/>
      <c r="M257" s="296"/>
      <c r="N257" s="296"/>
    </row>
    <row r="258" ht="15.75" customHeight="1">
      <c r="A258" s="296"/>
      <c r="B258" s="296"/>
      <c r="C258" s="296"/>
      <c r="D258" s="296"/>
      <c r="E258" s="296"/>
      <c r="F258" s="296"/>
      <c r="G258" s="295"/>
      <c r="H258" s="296"/>
      <c r="I258" s="296"/>
      <c r="J258" s="296"/>
      <c r="K258" s="296"/>
      <c r="L258" s="296"/>
      <c r="M258" s="296"/>
      <c r="N258" s="296"/>
    </row>
    <row r="259" ht="15.75" customHeight="1">
      <c r="A259" s="296"/>
      <c r="B259" s="296"/>
      <c r="C259" s="296"/>
      <c r="D259" s="296"/>
      <c r="E259" s="296"/>
      <c r="F259" s="296"/>
      <c r="G259" s="295"/>
      <c r="H259" s="296"/>
      <c r="I259" s="296"/>
      <c r="J259" s="296"/>
      <c r="K259" s="296"/>
      <c r="L259" s="296"/>
      <c r="M259" s="296"/>
      <c r="N259" s="296"/>
    </row>
    <row r="260" ht="15.75" customHeight="1">
      <c r="A260" s="296"/>
      <c r="B260" s="296"/>
      <c r="C260" s="296"/>
      <c r="D260" s="296"/>
      <c r="E260" s="296"/>
      <c r="F260" s="296"/>
      <c r="G260" s="295"/>
      <c r="H260" s="296"/>
      <c r="I260" s="296"/>
      <c r="J260" s="296"/>
      <c r="K260" s="296"/>
      <c r="L260" s="296"/>
      <c r="M260" s="296"/>
      <c r="N260" s="296"/>
    </row>
    <row r="261" ht="15.75" customHeight="1">
      <c r="A261" s="295" t="s">
        <v>33</v>
      </c>
      <c r="B261" s="296"/>
      <c r="C261" s="296">
        <f t="shared" ref="C261:G261" si="7">Sum(C249:C258)</f>
        <v>0</v>
      </c>
      <c r="D261" s="296">
        <f t="shared" si="7"/>
        <v>0</v>
      </c>
      <c r="E261" s="296">
        <f t="shared" si="7"/>
        <v>0</v>
      </c>
      <c r="F261" s="296">
        <f t="shared" si="7"/>
        <v>0</v>
      </c>
      <c r="G261" s="296">
        <f t="shared" si="7"/>
        <v>325</v>
      </c>
      <c r="H261" s="296">
        <f>Sum(H248:H260)</f>
        <v>600</v>
      </c>
      <c r="I261" s="296">
        <f t="shared" ref="I261:L261" si="8">Sum(I249:I258)</f>
        <v>0</v>
      </c>
      <c r="J261" s="296">
        <f t="shared" si="8"/>
        <v>0</v>
      </c>
      <c r="K261" s="296">
        <f t="shared" si="8"/>
        <v>0</v>
      </c>
      <c r="L261" s="296">
        <f t="shared" si="8"/>
        <v>0</v>
      </c>
      <c r="M261" s="296">
        <f>Sum(M248:M260)</f>
        <v>500</v>
      </c>
      <c r="N261" s="296">
        <f>Sum(N249:N258)</f>
        <v>0</v>
      </c>
    </row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2.0"/>
    <col customWidth="1" min="2" max="2" width="8.63"/>
    <col customWidth="1" min="3" max="3" width="8.75"/>
    <col customWidth="1" min="4" max="4" width="8.88"/>
    <col customWidth="1" min="5" max="5" width="9.63"/>
    <col customWidth="1" min="6" max="6" width="9.13"/>
    <col customWidth="1" min="7" max="7" width="8.63"/>
    <col customWidth="1" min="8" max="8" width="7.88"/>
    <col customWidth="1" min="9" max="9" width="7.75"/>
    <col customWidth="1" min="10" max="10" width="8.25"/>
    <col customWidth="1" min="11" max="11" width="8.38"/>
    <col customWidth="1" min="12" max="12" width="7.75"/>
    <col customWidth="1" min="13" max="13" width="8.38"/>
    <col customWidth="1" min="14" max="14" width="8.0"/>
    <col customWidth="1" min="15" max="26" width="15.13"/>
  </cols>
  <sheetData>
    <row r="1" ht="15.75" customHeight="1">
      <c r="A1" s="302" t="s">
        <v>601</v>
      </c>
      <c r="B1" s="303" t="s">
        <v>71</v>
      </c>
      <c r="C1" s="303" t="s">
        <v>602</v>
      </c>
      <c r="D1" s="303" t="s">
        <v>603</v>
      </c>
      <c r="E1" s="303" t="s">
        <v>604</v>
      </c>
      <c r="F1" s="303" t="s">
        <v>605</v>
      </c>
      <c r="G1" s="303" t="s">
        <v>606</v>
      </c>
      <c r="H1" s="303" t="s">
        <v>607</v>
      </c>
      <c r="I1" s="303" t="s">
        <v>608</v>
      </c>
      <c r="J1" s="303" t="s">
        <v>609</v>
      </c>
      <c r="K1" s="303" t="s">
        <v>610</v>
      </c>
      <c r="L1" s="303" t="s">
        <v>611</v>
      </c>
      <c r="M1" s="303" t="s">
        <v>612</v>
      </c>
      <c r="N1" s="303" t="s">
        <v>613</v>
      </c>
      <c r="O1" s="304" t="s">
        <v>614</v>
      </c>
    </row>
    <row r="2" ht="15.75" customHeight="1">
      <c r="A2" s="305"/>
      <c r="B2" s="254"/>
      <c r="C2" s="254">
        <v>4272.0</v>
      </c>
      <c r="D2" s="254">
        <v>4791.24</v>
      </c>
      <c r="E2" s="254">
        <v>4015.0</v>
      </c>
      <c r="F2" s="254">
        <v>4682.0</v>
      </c>
      <c r="G2" s="254">
        <v>4015.0</v>
      </c>
      <c r="H2" s="254">
        <v>5102.0</v>
      </c>
      <c r="I2" s="254">
        <v>3519.0</v>
      </c>
      <c r="J2" s="254">
        <v>4883.0</v>
      </c>
      <c r="K2" s="254">
        <v>4642.0</v>
      </c>
      <c r="L2" s="254">
        <v>4145.0</v>
      </c>
      <c r="M2" s="254">
        <v>3883.13</v>
      </c>
      <c r="N2" s="254">
        <v>3873.98</v>
      </c>
      <c r="O2" s="306"/>
    </row>
    <row r="3" ht="15.75" customHeight="1">
      <c r="A3" s="254" t="s">
        <v>615</v>
      </c>
      <c r="B3" s="254">
        <v>265875.0</v>
      </c>
      <c r="C3" s="254">
        <v>630.0</v>
      </c>
      <c r="D3" s="254">
        <v>630.0</v>
      </c>
      <c r="E3" s="254">
        <v>630.0</v>
      </c>
      <c r="F3" s="254">
        <v>630.0</v>
      </c>
      <c r="G3" s="254">
        <v>630.0</v>
      </c>
      <c r="H3" s="254">
        <v>630.0</v>
      </c>
      <c r="I3" s="254">
        <v>630.0</v>
      </c>
      <c r="J3" s="254">
        <v>630.0</v>
      </c>
      <c r="K3" s="254">
        <v>630.0</v>
      </c>
      <c r="L3" s="254">
        <v>630.0</v>
      </c>
      <c r="M3" s="254">
        <v>630.0</v>
      </c>
      <c r="N3" s="254">
        <v>630.0</v>
      </c>
      <c r="O3" s="304">
        <v>233000.0</v>
      </c>
    </row>
    <row r="4" ht="15.75" customHeight="1">
      <c r="A4" s="254" t="s">
        <v>616</v>
      </c>
      <c r="B4" s="254">
        <v>0.0</v>
      </c>
      <c r="C4" s="254">
        <v>13.0</v>
      </c>
      <c r="D4" s="254">
        <v>0.0</v>
      </c>
      <c r="E4" s="254">
        <v>12.0</v>
      </c>
      <c r="F4" s="254">
        <v>15.0</v>
      </c>
      <c r="G4" s="254">
        <v>0.0</v>
      </c>
      <c r="H4" s="254">
        <v>0.0</v>
      </c>
      <c r="I4" s="254">
        <v>0.0</v>
      </c>
      <c r="J4" s="254">
        <v>0.0</v>
      </c>
      <c r="K4" s="254">
        <v>0.0</v>
      </c>
      <c r="L4" s="254">
        <v>0.0</v>
      </c>
      <c r="M4" s="254">
        <v>0.0</v>
      </c>
      <c r="N4" s="254">
        <v>0.0</v>
      </c>
      <c r="O4" s="304">
        <v>10000.0</v>
      </c>
    </row>
    <row r="5" ht="15.75" customHeight="1">
      <c r="A5" s="254" t="s">
        <v>546</v>
      </c>
      <c r="B5" s="254">
        <v>17907.0</v>
      </c>
      <c r="C5" s="254">
        <v>0.0</v>
      </c>
      <c r="D5" s="254">
        <v>0.0</v>
      </c>
      <c r="E5" s="254">
        <v>0.0</v>
      </c>
      <c r="F5" s="254">
        <v>0.0</v>
      </c>
      <c r="G5" s="254">
        <v>0.0</v>
      </c>
      <c r="H5" s="254">
        <v>0.0</v>
      </c>
      <c r="I5" s="254">
        <v>0.0</v>
      </c>
      <c r="J5" s="254">
        <v>0.0</v>
      </c>
      <c r="K5" s="254">
        <v>0.0</v>
      </c>
      <c r="L5" s="254">
        <v>0.0</v>
      </c>
      <c r="M5" s="254">
        <v>0.0</v>
      </c>
      <c r="N5" s="254">
        <v>0.0</v>
      </c>
      <c r="O5" s="304">
        <v>19000.0</v>
      </c>
    </row>
    <row r="6" ht="15.75" customHeight="1">
      <c r="A6" s="254" t="s">
        <v>544</v>
      </c>
      <c r="B6" s="254" t="s">
        <v>223</v>
      </c>
      <c r="C6" s="254">
        <v>203.0</v>
      </c>
      <c r="D6" s="254">
        <v>224.0</v>
      </c>
      <c r="E6" s="254">
        <v>224.0</v>
      </c>
      <c r="F6" s="254">
        <v>220.0</v>
      </c>
      <c r="G6" s="254">
        <v>219.0</v>
      </c>
      <c r="H6" s="254">
        <v>220.0</v>
      </c>
      <c r="I6" s="254">
        <v>219.0</v>
      </c>
      <c r="J6" s="254">
        <v>220.0</v>
      </c>
      <c r="K6" s="254">
        <v>219.0</v>
      </c>
      <c r="L6" s="254">
        <v>187.0</v>
      </c>
      <c r="M6" s="254">
        <v>187.0</v>
      </c>
      <c r="N6" s="254">
        <v>202.0</v>
      </c>
      <c r="O6" s="304" t="s">
        <v>223</v>
      </c>
    </row>
    <row r="7" ht="15.75" customHeight="1">
      <c r="A7" s="254" t="s">
        <v>545</v>
      </c>
      <c r="B7" s="254" t="s">
        <v>223</v>
      </c>
      <c r="C7" s="254">
        <v>106.0</v>
      </c>
      <c r="D7" s="254">
        <v>106.0</v>
      </c>
      <c r="E7" s="254">
        <v>106.0</v>
      </c>
      <c r="F7" s="254">
        <v>106.0</v>
      </c>
      <c r="G7" s="254">
        <v>42.0</v>
      </c>
      <c r="H7" s="254">
        <v>42.0</v>
      </c>
      <c r="I7" s="254">
        <v>42.0</v>
      </c>
      <c r="J7" s="254">
        <v>42.0</v>
      </c>
      <c r="K7" s="254">
        <v>42.0</v>
      </c>
      <c r="L7" s="254">
        <v>42.0</v>
      </c>
      <c r="M7" s="254">
        <v>42.0</v>
      </c>
      <c r="N7" s="254">
        <v>42.0</v>
      </c>
      <c r="O7" s="304" t="s">
        <v>223</v>
      </c>
    </row>
    <row r="8" ht="15.75" customHeight="1">
      <c r="A8" s="254" t="s">
        <v>617</v>
      </c>
      <c r="B8" s="254">
        <v>0.0</v>
      </c>
      <c r="C8" s="254">
        <v>300.0</v>
      </c>
      <c r="D8" s="254">
        <v>150.0</v>
      </c>
      <c r="E8" s="254">
        <v>150.0</v>
      </c>
      <c r="F8" s="254">
        <v>200.0</v>
      </c>
      <c r="G8" s="254">
        <v>500.0</v>
      </c>
      <c r="H8" s="254">
        <v>0.0</v>
      </c>
      <c r="I8" s="254">
        <v>0.0</v>
      </c>
      <c r="J8" s="254">
        <v>0.0</v>
      </c>
      <c r="K8" s="254">
        <v>0.0</v>
      </c>
      <c r="L8" s="254">
        <v>0.0</v>
      </c>
      <c r="M8" s="254">
        <v>0.0</v>
      </c>
      <c r="N8" s="254">
        <v>0.0</v>
      </c>
      <c r="O8" s="304">
        <v>15300.0</v>
      </c>
    </row>
    <row r="9" ht="15.75" customHeight="1">
      <c r="A9" s="254" t="s">
        <v>618</v>
      </c>
      <c r="B9" s="254">
        <v>0.0</v>
      </c>
      <c r="C9" s="254">
        <v>0.0</v>
      </c>
      <c r="D9" s="254">
        <v>250.0</v>
      </c>
      <c r="E9" s="254">
        <v>1250.0</v>
      </c>
      <c r="F9" s="254">
        <v>2250.0</v>
      </c>
      <c r="G9" s="254">
        <v>750.0</v>
      </c>
      <c r="H9" s="254">
        <v>750.0</v>
      </c>
      <c r="I9" s="254">
        <v>609.0</v>
      </c>
      <c r="J9" s="254">
        <v>42.0</v>
      </c>
      <c r="K9" s="254">
        <v>40.0</v>
      </c>
      <c r="L9" s="254">
        <v>0.0</v>
      </c>
      <c r="M9" s="254">
        <v>0.0</v>
      </c>
      <c r="N9" s="254">
        <v>0.0</v>
      </c>
      <c r="O9" s="304">
        <v>6500.0</v>
      </c>
    </row>
    <row r="10" ht="15.75" customHeight="1">
      <c r="A10" s="254" t="s">
        <v>619</v>
      </c>
      <c r="B10" s="254">
        <v>0.0</v>
      </c>
      <c r="C10" s="254">
        <v>1197.0</v>
      </c>
      <c r="D10" s="254">
        <v>1501.0</v>
      </c>
      <c r="E10" s="254">
        <v>975.0</v>
      </c>
      <c r="F10" s="254">
        <v>320.0</v>
      </c>
      <c r="G10" s="254">
        <v>401.0</v>
      </c>
      <c r="H10" s="254">
        <v>275.0</v>
      </c>
      <c r="I10" s="254">
        <v>325.0</v>
      </c>
      <c r="J10" s="254">
        <v>2000.0</v>
      </c>
      <c r="K10" s="254">
        <v>1750.0</v>
      </c>
      <c r="L10" s="254">
        <v>1250.0</v>
      </c>
      <c r="M10" s="254">
        <v>1000.0</v>
      </c>
      <c r="N10" s="254">
        <v>1200.0</v>
      </c>
      <c r="O10" s="304">
        <v>4500.0</v>
      </c>
    </row>
    <row r="11" ht="15.75" customHeight="1">
      <c r="A11" s="254" t="s">
        <v>620</v>
      </c>
      <c r="B11" s="254">
        <v>0.0</v>
      </c>
      <c r="C11" s="254">
        <v>149.0</v>
      </c>
      <c r="D11" s="254">
        <v>149.0</v>
      </c>
      <c r="E11" s="254">
        <v>149.0</v>
      </c>
      <c r="F11" s="254">
        <v>149.0</v>
      </c>
      <c r="G11" s="254">
        <v>149.0</v>
      </c>
      <c r="H11" s="254">
        <v>294.0</v>
      </c>
      <c r="I11" s="254">
        <v>149.0</v>
      </c>
      <c r="J11" s="254">
        <v>149.0</v>
      </c>
      <c r="K11" s="254">
        <v>149.0</v>
      </c>
      <c r="L11" s="254">
        <v>149.0</v>
      </c>
      <c r="M11" s="254">
        <v>183.0</v>
      </c>
      <c r="N11" s="254">
        <v>39.0</v>
      </c>
      <c r="O11" s="304"/>
    </row>
    <row r="12" ht="15.75" customHeight="1">
      <c r="A12" s="254" t="s">
        <v>555</v>
      </c>
      <c r="B12" s="254">
        <v>0.0</v>
      </c>
      <c r="C12" s="254">
        <v>0.0</v>
      </c>
      <c r="D12" s="254">
        <v>0.0</v>
      </c>
      <c r="E12" s="254">
        <v>0.0</v>
      </c>
      <c r="F12" s="254">
        <v>0.0</v>
      </c>
      <c r="G12" s="254">
        <v>0.0</v>
      </c>
      <c r="H12" s="254">
        <v>0.0</v>
      </c>
      <c r="I12" s="254">
        <v>0.0</v>
      </c>
      <c r="J12" s="254">
        <v>0.0</v>
      </c>
      <c r="K12" s="254">
        <v>0.0</v>
      </c>
      <c r="L12" s="254">
        <v>0.0</v>
      </c>
      <c r="M12" s="254">
        <v>0.0</v>
      </c>
      <c r="N12" s="254">
        <v>0.0</v>
      </c>
      <c r="O12" s="304">
        <v>0.0</v>
      </c>
    </row>
    <row r="13" ht="15.75" customHeight="1">
      <c r="A13" s="254" t="s">
        <v>553</v>
      </c>
      <c r="B13" s="254">
        <v>0.0</v>
      </c>
      <c r="C13" s="254">
        <v>466.0</v>
      </c>
      <c r="D13" s="254">
        <v>0.0</v>
      </c>
      <c r="E13" s="254">
        <v>0.0</v>
      </c>
      <c r="F13" s="254">
        <v>26.0</v>
      </c>
      <c r="G13" s="254">
        <v>0.0</v>
      </c>
      <c r="H13" s="254">
        <v>105.0</v>
      </c>
      <c r="I13" s="254">
        <v>26.0</v>
      </c>
      <c r="J13" s="254">
        <v>95.0</v>
      </c>
      <c r="K13" s="254">
        <v>148.0</v>
      </c>
      <c r="L13" s="254">
        <v>209.0</v>
      </c>
      <c r="M13" s="254">
        <v>209.0</v>
      </c>
      <c r="N13" s="254">
        <v>37.0</v>
      </c>
      <c r="O13" s="304"/>
    </row>
    <row r="14" ht="15.75" customHeight="1">
      <c r="A14" s="254" t="s">
        <v>621</v>
      </c>
      <c r="B14" s="254">
        <v>0.0</v>
      </c>
      <c r="C14" s="254">
        <v>0.0</v>
      </c>
      <c r="D14" s="254">
        <v>0.0</v>
      </c>
      <c r="E14" s="254">
        <v>0.0</v>
      </c>
      <c r="F14" s="254">
        <v>0.0</v>
      </c>
      <c r="G14" s="254">
        <v>0.0</v>
      </c>
      <c r="H14" s="254">
        <v>250.0</v>
      </c>
      <c r="I14" s="254">
        <v>0.0</v>
      </c>
      <c r="J14" s="254">
        <v>0.0</v>
      </c>
      <c r="K14" s="254">
        <v>0.0</v>
      </c>
      <c r="L14" s="254">
        <v>0.0</v>
      </c>
      <c r="M14" s="254">
        <v>0.0</v>
      </c>
      <c r="N14" s="254">
        <v>0.0</v>
      </c>
      <c r="O14" s="304">
        <v>0.0</v>
      </c>
    </row>
    <row r="15" ht="15.75" customHeight="1">
      <c r="A15" s="254" t="s">
        <v>622</v>
      </c>
      <c r="B15" s="254" t="s">
        <v>223</v>
      </c>
      <c r="C15" s="254">
        <v>124.0</v>
      </c>
      <c r="D15" s="254">
        <v>130.0</v>
      </c>
      <c r="E15" s="254">
        <v>130.0</v>
      </c>
      <c r="F15" s="254">
        <v>130.0</v>
      </c>
      <c r="G15" s="254">
        <v>155.0</v>
      </c>
      <c r="H15" s="254">
        <v>155.0</v>
      </c>
      <c r="I15" s="254">
        <v>155.0</v>
      </c>
      <c r="J15" s="254">
        <v>155.0</v>
      </c>
      <c r="K15" s="254">
        <v>155.0</v>
      </c>
      <c r="L15" s="254">
        <v>155.0</v>
      </c>
      <c r="M15" s="254">
        <v>125.0</v>
      </c>
      <c r="N15" s="254">
        <v>125.0</v>
      </c>
      <c r="O15" s="304" t="s">
        <v>223</v>
      </c>
    </row>
    <row r="16" ht="15.75" customHeight="1">
      <c r="A16" s="254" t="s">
        <v>623</v>
      </c>
      <c r="B16" s="254" t="s">
        <v>223</v>
      </c>
      <c r="C16" s="254">
        <v>393.0</v>
      </c>
      <c r="D16" s="254">
        <v>299.0</v>
      </c>
      <c r="E16" s="254">
        <v>299.0</v>
      </c>
      <c r="F16" s="254">
        <v>260.0</v>
      </c>
      <c r="G16" s="254">
        <v>395.0</v>
      </c>
      <c r="H16" s="254">
        <v>395.0</v>
      </c>
      <c r="I16" s="254">
        <v>445.0</v>
      </c>
      <c r="J16" s="254">
        <v>395.0</v>
      </c>
      <c r="K16" s="254">
        <v>395.0</v>
      </c>
      <c r="L16" s="254">
        <v>250.0</v>
      </c>
      <c r="M16" s="254">
        <v>395.0</v>
      </c>
      <c r="N16" s="254">
        <v>395.0</v>
      </c>
      <c r="O16" s="304" t="s">
        <v>223</v>
      </c>
    </row>
    <row r="17" ht="15.75" customHeight="1">
      <c r="A17" s="254" t="s">
        <v>624</v>
      </c>
      <c r="B17" s="254" t="s">
        <v>223</v>
      </c>
      <c r="C17" s="254">
        <v>0.0</v>
      </c>
      <c r="D17" s="254">
        <v>535.0</v>
      </c>
      <c r="E17" s="254">
        <v>0.0</v>
      </c>
      <c r="F17" s="254">
        <v>0.0</v>
      </c>
      <c r="G17" s="254">
        <v>0.0</v>
      </c>
      <c r="H17" s="254">
        <v>926.0</v>
      </c>
      <c r="I17" s="254">
        <v>200.0</v>
      </c>
      <c r="J17" s="254">
        <v>200.0</v>
      </c>
      <c r="K17" s="254">
        <v>0.0</v>
      </c>
      <c r="L17" s="254">
        <v>0.0</v>
      </c>
      <c r="M17" s="254">
        <v>0.0</v>
      </c>
      <c r="N17" s="254">
        <v>0.0</v>
      </c>
      <c r="O17" s="304" t="s">
        <v>223</v>
      </c>
    </row>
    <row r="18" ht="15.75" customHeight="1">
      <c r="A18" s="254" t="s">
        <v>625</v>
      </c>
      <c r="B18" s="254" t="s">
        <v>223</v>
      </c>
      <c r="C18" s="254">
        <v>147.0</v>
      </c>
      <c r="D18" s="254">
        <v>342.0</v>
      </c>
      <c r="E18" s="254">
        <v>0.0</v>
      </c>
      <c r="F18" s="254">
        <v>6.0</v>
      </c>
      <c r="G18" s="254">
        <v>140.0</v>
      </c>
      <c r="H18" s="254">
        <v>140.0</v>
      </c>
      <c r="I18" s="254">
        <v>750.0</v>
      </c>
      <c r="J18" s="254">
        <v>615.0</v>
      </c>
      <c r="K18" s="254">
        <v>359.0</v>
      </c>
      <c r="L18" s="254">
        <v>910.0</v>
      </c>
      <c r="M18" s="254">
        <v>850.0</v>
      </c>
      <c r="N18" s="254">
        <v>650.0</v>
      </c>
      <c r="O18" s="304" t="s">
        <v>223</v>
      </c>
    </row>
    <row r="19" ht="15.75" customHeight="1">
      <c r="A19" s="254"/>
      <c r="B19" s="254"/>
      <c r="C19" s="255"/>
      <c r="D19" s="255"/>
      <c r="E19" s="255"/>
      <c r="F19" s="255"/>
      <c r="G19" s="254"/>
      <c r="H19" s="255"/>
      <c r="I19" s="255"/>
      <c r="J19" s="255"/>
      <c r="K19" s="255"/>
      <c r="L19" s="255"/>
      <c r="M19" s="255"/>
      <c r="N19" s="255"/>
      <c r="O19" s="304"/>
    </row>
    <row r="20" ht="15.75" customHeight="1">
      <c r="A20" s="254" t="s">
        <v>33</v>
      </c>
      <c r="B20" s="254">
        <f>Sum(B3:B15)</f>
        <v>283782</v>
      </c>
      <c r="C20" s="254">
        <f t="shared" ref="C20:N20" si="1">Sum(C3:C18)</f>
        <v>3728</v>
      </c>
      <c r="D20" s="254">
        <f t="shared" si="1"/>
        <v>4316</v>
      </c>
      <c r="E20" s="254">
        <f t="shared" si="1"/>
        <v>3925</v>
      </c>
      <c r="F20" s="254">
        <f t="shared" si="1"/>
        <v>4312</v>
      </c>
      <c r="G20" s="254">
        <f t="shared" si="1"/>
        <v>3381</v>
      </c>
      <c r="H20" s="254">
        <f t="shared" si="1"/>
        <v>4182</v>
      </c>
      <c r="I20" s="254">
        <f t="shared" si="1"/>
        <v>3550</v>
      </c>
      <c r="J20" s="254">
        <f t="shared" si="1"/>
        <v>4543</v>
      </c>
      <c r="K20" s="254">
        <f t="shared" si="1"/>
        <v>3887</v>
      </c>
      <c r="L20" s="254">
        <f t="shared" si="1"/>
        <v>3782</v>
      </c>
      <c r="M20" s="254">
        <f t="shared" si="1"/>
        <v>3621</v>
      </c>
      <c r="N20" s="254">
        <f t="shared" si="1"/>
        <v>3320</v>
      </c>
      <c r="O20" s="304">
        <f>Sum(O3:O15)</f>
        <v>288300</v>
      </c>
    </row>
    <row r="21" ht="15.75" customHeight="1">
      <c r="A21" s="238" t="s">
        <v>626</v>
      </c>
      <c r="B21" s="239" t="s">
        <v>71</v>
      </c>
      <c r="C21" s="239" t="s">
        <v>627</v>
      </c>
      <c r="D21" s="239" t="s">
        <v>628</v>
      </c>
      <c r="E21" s="239" t="s">
        <v>629</v>
      </c>
      <c r="F21" s="239" t="s">
        <v>630</v>
      </c>
      <c r="G21" s="239" t="s">
        <v>631</v>
      </c>
      <c r="H21" s="239" t="s">
        <v>632</v>
      </c>
      <c r="I21" s="239" t="s">
        <v>633</v>
      </c>
      <c r="J21" s="239" t="s">
        <v>634</v>
      </c>
      <c r="K21" s="239" t="s">
        <v>635</v>
      </c>
      <c r="L21" s="239" t="s">
        <v>636</v>
      </c>
      <c r="M21" s="239" t="s">
        <v>637</v>
      </c>
      <c r="N21" s="239" t="s">
        <v>638</v>
      </c>
      <c r="O21" s="240" t="s">
        <v>614</v>
      </c>
    </row>
    <row r="22" ht="15.75" customHeight="1">
      <c r="A22" s="238"/>
      <c r="B22" s="239"/>
      <c r="C22" s="239">
        <v>2000.0</v>
      </c>
      <c r="D22" s="239">
        <v>2500.0</v>
      </c>
      <c r="E22" s="239">
        <v>5000.0</v>
      </c>
      <c r="F22" s="239">
        <v>4000.0</v>
      </c>
      <c r="G22" s="239">
        <v>3900.0</v>
      </c>
      <c r="H22" s="239">
        <v>4513.0</v>
      </c>
      <c r="I22" s="239">
        <v>4250.0</v>
      </c>
      <c r="J22" s="239">
        <v>5650.0</v>
      </c>
      <c r="K22" s="239">
        <v>4046.0</v>
      </c>
      <c r="L22" s="239">
        <v>4366.0</v>
      </c>
      <c r="M22" s="239">
        <v>4234.0</v>
      </c>
      <c r="N22" s="239">
        <v>4582.0</v>
      </c>
      <c r="O22" s="240"/>
    </row>
    <row r="23" ht="15.75" customHeight="1">
      <c r="A23" s="239" t="s">
        <v>615</v>
      </c>
      <c r="B23" s="239">
        <f t="shared" ref="B23:B25" si="2">B3</f>
        <v>265875</v>
      </c>
      <c r="C23" s="239">
        <v>630.0</v>
      </c>
      <c r="D23" s="239">
        <v>630.0</v>
      </c>
      <c r="E23" s="239">
        <v>630.0</v>
      </c>
      <c r="F23" s="239">
        <v>630.0</v>
      </c>
      <c r="G23" s="239">
        <v>630.0</v>
      </c>
      <c r="H23" s="239">
        <v>630.0</v>
      </c>
      <c r="I23" s="239">
        <v>630.0</v>
      </c>
      <c r="J23" s="239">
        <v>630.0</v>
      </c>
      <c r="K23" s="239">
        <v>630.0</v>
      </c>
      <c r="L23" s="239">
        <v>630.0</v>
      </c>
      <c r="M23" s="239">
        <v>630.0</v>
      </c>
      <c r="N23" s="239">
        <v>630.0</v>
      </c>
      <c r="O23" s="242" t="s">
        <v>223</v>
      </c>
    </row>
    <row r="24" ht="15.75" customHeight="1">
      <c r="A24" s="239" t="s">
        <v>616</v>
      </c>
      <c r="B24" s="239">
        <f t="shared" si="2"/>
        <v>0</v>
      </c>
      <c r="C24" s="239">
        <v>28.0</v>
      </c>
      <c r="D24" s="239">
        <v>31.0</v>
      </c>
      <c r="E24" s="239">
        <v>0.0</v>
      </c>
      <c r="F24" s="239">
        <v>15.0</v>
      </c>
      <c r="G24" s="239">
        <v>0.0</v>
      </c>
      <c r="H24" s="239">
        <v>0.0</v>
      </c>
      <c r="I24" s="239">
        <v>0.0</v>
      </c>
      <c r="J24" s="239">
        <v>0.0</v>
      </c>
      <c r="K24" s="239">
        <v>0.0</v>
      </c>
      <c r="L24" s="239">
        <v>0.0</v>
      </c>
      <c r="M24" s="239">
        <v>0.0</v>
      </c>
      <c r="N24" s="239">
        <v>0.0</v>
      </c>
      <c r="O24" s="242">
        <v>0.0</v>
      </c>
    </row>
    <row r="25" ht="15.75" customHeight="1">
      <c r="A25" s="239" t="s">
        <v>546</v>
      </c>
      <c r="B25" s="239">
        <f t="shared" si="2"/>
        <v>17907</v>
      </c>
      <c r="C25" s="239">
        <v>201.0</v>
      </c>
      <c r="D25" s="239">
        <v>201.0</v>
      </c>
      <c r="E25" s="239">
        <v>201.0</v>
      </c>
      <c r="F25" s="239">
        <v>201.0</v>
      </c>
      <c r="G25" s="239">
        <v>201.0</v>
      </c>
      <c r="H25" s="239">
        <v>201.0</v>
      </c>
      <c r="I25" s="239">
        <v>201.0</v>
      </c>
      <c r="J25" s="239">
        <v>201.0</v>
      </c>
      <c r="K25" s="239">
        <v>201.0</v>
      </c>
      <c r="L25" s="239">
        <v>201.0</v>
      </c>
      <c r="M25" s="239">
        <v>201.0</v>
      </c>
      <c r="N25" s="239">
        <v>201.0</v>
      </c>
      <c r="O25" s="242"/>
    </row>
    <row r="26" ht="15.75" customHeight="1">
      <c r="A26" s="239" t="s">
        <v>639</v>
      </c>
      <c r="B26" s="239" t="s">
        <v>223</v>
      </c>
      <c r="C26" s="239">
        <v>135.0</v>
      </c>
      <c r="D26" s="239">
        <v>127.0</v>
      </c>
      <c r="E26" s="239">
        <v>124.0</v>
      </c>
      <c r="F26" s="239">
        <v>113.0</v>
      </c>
      <c r="G26" s="239">
        <v>118.0</v>
      </c>
      <c r="H26" s="239">
        <v>123.0</v>
      </c>
      <c r="I26" s="239">
        <v>135.0</v>
      </c>
      <c r="J26" s="239">
        <v>188.0</v>
      </c>
      <c r="K26" s="239">
        <v>149.0</v>
      </c>
      <c r="L26" s="239">
        <v>148.0</v>
      </c>
      <c r="M26" s="239">
        <v>149.0</v>
      </c>
      <c r="N26" s="239">
        <v>180.0</v>
      </c>
      <c r="O26" s="242"/>
    </row>
    <row r="27" ht="15.75" customHeight="1">
      <c r="A27" s="239" t="s">
        <v>640</v>
      </c>
      <c r="B27" s="239" t="s">
        <v>223</v>
      </c>
      <c r="C27" s="239">
        <v>53.0</v>
      </c>
      <c r="D27" s="239">
        <v>53.0</v>
      </c>
      <c r="E27" s="239">
        <v>53.0</v>
      </c>
      <c r="F27" s="239">
        <v>53.0</v>
      </c>
      <c r="G27" s="239">
        <v>53.0</v>
      </c>
      <c r="H27" s="239">
        <v>53.0</v>
      </c>
      <c r="I27" s="239">
        <v>53.0</v>
      </c>
      <c r="J27" s="239">
        <v>53.0</v>
      </c>
      <c r="K27" s="239">
        <v>53.0</v>
      </c>
      <c r="L27" s="239">
        <v>53.0</v>
      </c>
      <c r="M27" s="239">
        <v>53.0</v>
      </c>
      <c r="N27" s="239">
        <v>77.0</v>
      </c>
      <c r="O27" s="242"/>
    </row>
    <row r="28" ht="15.75" customHeight="1">
      <c r="A28" s="239" t="s">
        <v>641</v>
      </c>
      <c r="B28" s="239">
        <f t="shared" ref="B28:B29" si="3">B8</f>
        <v>0</v>
      </c>
      <c r="C28" s="239">
        <v>0.0</v>
      </c>
      <c r="D28" s="239">
        <v>0.0</v>
      </c>
      <c r="E28" s="239">
        <v>0.0</v>
      </c>
      <c r="F28" s="239">
        <v>0.0</v>
      </c>
      <c r="G28" s="239">
        <v>0.0</v>
      </c>
      <c r="H28" s="239">
        <v>0.0</v>
      </c>
      <c r="I28" s="239">
        <v>0.0</v>
      </c>
      <c r="J28" s="239">
        <v>0.0</v>
      </c>
      <c r="K28" s="239">
        <v>0.0</v>
      </c>
      <c r="L28" s="239">
        <v>0.0</v>
      </c>
      <c r="M28" s="239">
        <v>196.0</v>
      </c>
      <c r="N28" s="239">
        <v>0.0</v>
      </c>
      <c r="O28" s="242">
        <v>0.0</v>
      </c>
    </row>
    <row r="29" ht="15.75" customHeight="1">
      <c r="A29" s="239" t="s">
        <v>618</v>
      </c>
      <c r="B29" s="239">
        <f t="shared" si="3"/>
        <v>0</v>
      </c>
      <c r="C29" s="239">
        <v>150.0</v>
      </c>
      <c r="D29" s="239">
        <v>350.0</v>
      </c>
      <c r="E29" s="239">
        <v>2000.0</v>
      </c>
      <c r="F29" s="239">
        <v>1050.0</v>
      </c>
      <c r="G29" s="239">
        <v>500.0</v>
      </c>
      <c r="H29" s="239">
        <v>475.0</v>
      </c>
      <c r="I29" s="239">
        <v>42.0</v>
      </c>
      <c r="J29" s="239">
        <v>0.0</v>
      </c>
      <c r="K29" s="239">
        <v>0.0</v>
      </c>
      <c r="L29" s="239">
        <v>0.0</v>
      </c>
      <c r="M29" s="239">
        <v>0.0</v>
      </c>
      <c r="N29" s="239">
        <v>0.0</v>
      </c>
      <c r="O29" s="242">
        <v>0.0</v>
      </c>
    </row>
    <row r="30" ht="15.75" customHeight="1">
      <c r="A30" s="239" t="s">
        <v>619</v>
      </c>
      <c r="B30" s="239">
        <v>0.0</v>
      </c>
      <c r="C30" s="239">
        <v>121.0</v>
      </c>
      <c r="D30" s="239">
        <v>197.0</v>
      </c>
      <c r="E30" s="239">
        <v>175.0</v>
      </c>
      <c r="F30" s="239">
        <v>300.0</v>
      </c>
      <c r="G30" s="239">
        <v>100.0</v>
      </c>
      <c r="H30" s="239">
        <v>350.0</v>
      </c>
      <c r="I30" s="239">
        <v>2250.0</v>
      </c>
      <c r="J30" s="239">
        <v>1750.0</v>
      </c>
      <c r="K30" s="239">
        <v>1000.0</v>
      </c>
      <c r="L30" s="239">
        <v>1000.0</v>
      </c>
      <c r="M30" s="239">
        <v>550.0</v>
      </c>
      <c r="N30" s="239">
        <v>2000.0</v>
      </c>
      <c r="O30" s="242">
        <v>0.0</v>
      </c>
    </row>
    <row r="31" ht="15.75" customHeight="1">
      <c r="A31" s="239" t="s">
        <v>642</v>
      </c>
      <c r="B31" s="239">
        <v>0.0</v>
      </c>
      <c r="C31" s="239">
        <v>109.0</v>
      </c>
      <c r="D31" s="239">
        <v>127.0</v>
      </c>
      <c r="E31" s="239">
        <v>145.0</v>
      </c>
      <c r="F31" s="239">
        <v>145.0</v>
      </c>
      <c r="G31" s="239">
        <v>145.0</v>
      </c>
      <c r="H31" s="239">
        <v>145.0</v>
      </c>
      <c r="I31" s="239">
        <v>145.0</v>
      </c>
      <c r="J31" s="239">
        <v>351.0</v>
      </c>
      <c r="K31" s="239">
        <v>153.0</v>
      </c>
      <c r="L31" s="239">
        <v>153.0</v>
      </c>
      <c r="M31" s="239">
        <v>153.0</v>
      </c>
      <c r="N31" s="241">
        <v>153.0</v>
      </c>
      <c r="O31" s="242"/>
    </row>
    <row r="32" ht="15.75" customHeight="1">
      <c r="A32" s="239" t="s">
        <v>555</v>
      </c>
      <c r="B32" s="239">
        <f t="shared" ref="B32:B34" si="4">B12</f>
        <v>0</v>
      </c>
      <c r="C32" s="239">
        <v>0.0</v>
      </c>
      <c r="D32" s="239">
        <v>0.0</v>
      </c>
      <c r="E32" s="239">
        <v>0.0</v>
      </c>
      <c r="F32" s="239">
        <v>0.0</v>
      </c>
      <c r="G32" s="239">
        <v>0.0</v>
      </c>
      <c r="H32" s="239">
        <v>0.0</v>
      </c>
      <c r="I32" s="239">
        <v>0.0</v>
      </c>
      <c r="J32" s="239">
        <v>0.0</v>
      </c>
      <c r="K32" s="239">
        <v>0.0</v>
      </c>
      <c r="L32" s="239">
        <v>0.0</v>
      </c>
      <c r="M32" s="239">
        <v>0.0</v>
      </c>
      <c r="N32" s="239">
        <v>0.0</v>
      </c>
      <c r="O32" s="242"/>
    </row>
    <row r="33" ht="15.75" customHeight="1">
      <c r="A33" s="239" t="s">
        <v>643</v>
      </c>
      <c r="B33" s="239">
        <f t="shared" si="4"/>
        <v>0</v>
      </c>
      <c r="C33" s="239">
        <v>0.0</v>
      </c>
      <c r="D33" s="239">
        <v>0.0</v>
      </c>
      <c r="E33" s="239">
        <v>100.0</v>
      </c>
      <c r="F33" s="239">
        <v>54.0</v>
      </c>
      <c r="G33" s="239">
        <v>54.0</v>
      </c>
      <c r="H33" s="239">
        <v>0.0</v>
      </c>
      <c r="I33" s="239">
        <v>29.0</v>
      </c>
      <c r="J33" s="239">
        <v>0.0</v>
      </c>
      <c r="K33" s="239">
        <v>0.0</v>
      </c>
      <c r="L33" s="239">
        <v>0.0</v>
      </c>
      <c r="M33" s="239">
        <v>39.0</v>
      </c>
      <c r="N33" s="239">
        <v>171.0</v>
      </c>
      <c r="O33" s="242"/>
    </row>
    <row r="34" ht="15.75" customHeight="1">
      <c r="A34" s="239" t="s">
        <v>644</v>
      </c>
      <c r="B34" s="239">
        <f t="shared" si="4"/>
        <v>0</v>
      </c>
      <c r="C34" s="239">
        <v>0.0</v>
      </c>
      <c r="D34" s="239">
        <v>0.0</v>
      </c>
      <c r="E34" s="239">
        <v>0.0</v>
      </c>
      <c r="F34" s="239">
        <v>20.0</v>
      </c>
      <c r="G34" s="239">
        <v>250.0</v>
      </c>
      <c r="H34" s="239">
        <v>0.0</v>
      </c>
      <c r="I34" s="239">
        <v>0.0</v>
      </c>
      <c r="J34" s="239">
        <v>0.0</v>
      </c>
      <c r="K34" s="239">
        <v>0.0</v>
      </c>
      <c r="L34" s="239">
        <v>0.0</v>
      </c>
      <c r="M34" s="239">
        <v>0.0</v>
      </c>
      <c r="N34" s="239">
        <v>0.0</v>
      </c>
      <c r="O34" s="242"/>
    </row>
    <row r="35" ht="15.75" customHeight="1">
      <c r="A35" s="239" t="s">
        <v>622</v>
      </c>
      <c r="B35" s="239" t="s">
        <v>223</v>
      </c>
      <c r="C35" s="239">
        <v>100.0</v>
      </c>
      <c r="D35" s="239">
        <v>130.0</v>
      </c>
      <c r="E35" s="239">
        <v>130.0</v>
      </c>
      <c r="F35" s="239">
        <v>130.0</v>
      </c>
      <c r="G35" s="239">
        <v>155.0</v>
      </c>
      <c r="H35" s="239">
        <v>155.0</v>
      </c>
      <c r="I35" s="239">
        <v>155.0</v>
      </c>
      <c r="J35" s="239">
        <v>155.0</v>
      </c>
      <c r="K35" s="239">
        <v>155.0</v>
      </c>
      <c r="L35" s="239">
        <v>206.0</v>
      </c>
      <c r="M35" s="239">
        <v>125.0</v>
      </c>
      <c r="N35" s="239">
        <v>200.0</v>
      </c>
      <c r="O35" s="242" t="s">
        <v>223</v>
      </c>
    </row>
    <row r="36" ht="15.75" customHeight="1">
      <c r="A36" s="239" t="s">
        <v>623</v>
      </c>
      <c r="B36" s="239" t="s">
        <v>223</v>
      </c>
      <c r="C36" s="239">
        <v>289.0</v>
      </c>
      <c r="D36" s="239">
        <v>310.0</v>
      </c>
      <c r="E36" s="239">
        <v>460.0</v>
      </c>
      <c r="F36" s="239">
        <v>389.0</v>
      </c>
      <c r="G36" s="239">
        <v>545.0</v>
      </c>
      <c r="H36" s="239">
        <v>545.0</v>
      </c>
      <c r="I36" s="239">
        <v>545.0</v>
      </c>
      <c r="J36" s="239">
        <v>545.0</v>
      </c>
      <c r="K36" s="239">
        <v>545.0</v>
      </c>
      <c r="L36" s="239">
        <v>495.0</v>
      </c>
      <c r="M36" s="239">
        <v>595.0</v>
      </c>
      <c r="N36" s="239">
        <v>495.0</v>
      </c>
      <c r="O36" s="242" t="str">
        <f t="shared" ref="O36:O38" si="5">O16</f>
        <v>n/a</v>
      </c>
    </row>
    <row r="37" ht="15.75" customHeight="1">
      <c r="A37" s="239" t="str">
        <f>A17</f>
        <v>Misc. Expense - mm (Kumon+Piano)</v>
      </c>
      <c r="B37" s="239" t="s">
        <v>223</v>
      </c>
      <c r="C37" s="239">
        <v>200.0</v>
      </c>
      <c r="D37" s="239">
        <v>0.0</v>
      </c>
      <c r="E37" s="239">
        <v>100.0</v>
      </c>
      <c r="F37" s="239">
        <v>100.0</v>
      </c>
      <c r="G37" s="239">
        <v>100.0</v>
      </c>
      <c r="H37" s="239">
        <v>238.0</v>
      </c>
      <c r="I37" s="239">
        <v>0.0</v>
      </c>
      <c r="J37" s="239">
        <v>1282.0</v>
      </c>
      <c r="K37" s="239">
        <v>200.0</v>
      </c>
      <c r="L37" s="239">
        <v>250.0</v>
      </c>
      <c r="M37" s="239">
        <v>300.0</v>
      </c>
      <c r="N37" s="239">
        <v>300.0</v>
      </c>
      <c r="O37" s="242" t="str">
        <f t="shared" si="5"/>
        <v>n/a</v>
      </c>
    </row>
    <row r="38" ht="15.75" customHeight="1">
      <c r="A38" s="239" t="s">
        <v>645</v>
      </c>
      <c r="B38" s="239" t="s">
        <v>223</v>
      </c>
      <c r="C38" s="239">
        <v>0.0</v>
      </c>
      <c r="D38" s="239">
        <v>200.0</v>
      </c>
      <c r="E38" s="239">
        <v>525.0</v>
      </c>
      <c r="F38" s="239">
        <v>140.0</v>
      </c>
      <c r="G38" s="239">
        <v>0.0</v>
      </c>
      <c r="H38" s="239">
        <v>0.0</v>
      </c>
      <c r="I38" s="239">
        <v>0.0</v>
      </c>
      <c r="J38" s="239">
        <v>444.0</v>
      </c>
      <c r="K38" s="239">
        <v>705.0</v>
      </c>
      <c r="L38" s="239">
        <v>1000.0</v>
      </c>
      <c r="M38" s="239">
        <v>950.0</v>
      </c>
      <c r="N38" s="239">
        <v>100.0</v>
      </c>
      <c r="O38" s="242" t="str">
        <f t="shared" si="5"/>
        <v>n/a</v>
      </c>
    </row>
    <row r="39" ht="15.75" customHeight="1">
      <c r="A39" s="239"/>
      <c r="B39" s="239"/>
      <c r="C39" s="241"/>
      <c r="D39" s="241"/>
      <c r="E39" s="241"/>
      <c r="F39" s="241"/>
      <c r="G39" s="241"/>
      <c r="H39" s="241"/>
      <c r="I39" s="241"/>
      <c r="J39" s="241"/>
      <c r="K39" s="241"/>
      <c r="L39" s="241"/>
      <c r="M39" s="241"/>
      <c r="N39" s="241"/>
      <c r="O39" s="242"/>
    </row>
    <row r="40" ht="15.75" customHeight="1">
      <c r="A40" s="239" t="s">
        <v>33</v>
      </c>
      <c r="B40" s="239">
        <f>Sum(B23:B35)</f>
        <v>283782</v>
      </c>
      <c r="C40" s="239">
        <f t="shared" ref="C40:N40" si="6">Sum(C23:C38)</f>
        <v>2016</v>
      </c>
      <c r="D40" s="239">
        <f t="shared" si="6"/>
        <v>2356</v>
      </c>
      <c r="E40" s="239">
        <f t="shared" si="6"/>
        <v>4643</v>
      </c>
      <c r="F40" s="239">
        <f t="shared" si="6"/>
        <v>3340</v>
      </c>
      <c r="G40" s="239">
        <f t="shared" si="6"/>
        <v>2851</v>
      </c>
      <c r="H40" s="239">
        <f t="shared" si="6"/>
        <v>2915</v>
      </c>
      <c r="I40" s="239">
        <f t="shared" si="6"/>
        <v>4185</v>
      </c>
      <c r="J40" s="239">
        <f t="shared" si="6"/>
        <v>5599</v>
      </c>
      <c r="K40" s="239">
        <f t="shared" si="6"/>
        <v>3791</v>
      </c>
      <c r="L40" s="239">
        <f t="shared" si="6"/>
        <v>4136</v>
      </c>
      <c r="M40" s="239">
        <f t="shared" si="6"/>
        <v>3941</v>
      </c>
      <c r="N40" s="239">
        <f t="shared" si="6"/>
        <v>4507</v>
      </c>
      <c r="O40" s="242">
        <v>0.0</v>
      </c>
    </row>
    <row r="41" ht="15.75" customHeight="1"/>
    <row r="42" ht="15.75" customHeight="1">
      <c r="A42" s="304" t="s">
        <v>646</v>
      </c>
      <c r="B42" s="306"/>
      <c r="C42" s="306"/>
      <c r="D42" s="306"/>
      <c r="E42" s="306"/>
      <c r="F42" s="306"/>
      <c r="G42" s="306"/>
      <c r="H42" s="306"/>
      <c r="I42" s="306"/>
      <c r="J42" s="306"/>
      <c r="K42" s="306"/>
      <c r="L42" s="306"/>
      <c r="M42" s="306"/>
      <c r="N42" s="306"/>
      <c r="O42" s="306"/>
    </row>
    <row r="43" ht="15.75" customHeight="1"/>
    <row r="44" ht="15.75" customHeight="1"/>
    <row r="45" ht="15.75" customHeight="1">
      <c r="A45" s="260" t="s">
        <v>647</v>
      </c>
      <c r="B45" s="260" t="s">
        <v>35</v>
      </c>
      <c r="C45" s="260" t="s">
        <v>0</v>
      </c>
      <c r="D45" s="260" t="s">
        <v>1</v>
      </c>
      <c r="E45" s="260" t="s">
        <v>2</v>
      </c>
      <c r="F45" s="260" t="s">
        <v>3</v>
      </c>
      <c r="G45" s="260" t="s">
        <v>4</v>
      </c>
      <c r="H45" s="260" t="s">
        <v>5</v>
      </c>
      <c r="I45" s="260" t="s">
        <v>6</v>
      </c>
      <c r="J45" s="260" t="s">
        <v>7</v>
      </c>
      <c r="K45" s="260" t="s">
        <v>8</v>
      </c>
      <c r="L45" s="260" t="s">
        <v>9</v>
      </c>
      <c r="M45" s="260" t="s">
        <v>10</v>
      </c>
      <c r="N45" s="260" t="s">
        <v>11</v>
      </c>
      <c r="O45" s="260" t="s">
        <v>648</v>
      </c>
    </row>
    <row r="46" ht="15.75" customHeight="1">
      <c r="A46" s="260"/>
      <c r="B46" s="260"/>
      <c r="C46" s="260"/>
      <c r="D46" s="260"/>
      <c r="E46" s="260"/>
      <c r="F46" s="260"/>
      <c r="G46" s="260"/>
      <c r="H46" s="260"/>
      <c r="I46" s="260"/>
      <c r="J46" s="260"/>
      <c r="K46" s="260"/>
      <c r="L46" s="260"/>
      <c r="M46" s="260"/>
      <c r="N46" s="260"/>
      <c r="O46" s="307"/>
    </row>
    <row r="47" ht="15.75" customHeight="1">
      <c r="A47" s="260" t="s">
        <v>649</v>
      </c>
      <c r="B47" s="260">
        <v>17245.0</v>
      </c>
      <c r="C47" s="260">
        <v>0.0</v>
      </c>
      <c r="D47" s="260">
        <v>0.0</v>
      </c>
      <c r="E47" s="260">
        <v>0.0</v>
      </c>
      <c r="F47" s="260">
        <v>16788.0</v>
      </c>
      <c r="G47" s="260">
        <v>16691.0</v>
      </c>
      <c r="H47" s="260">
        <v>16594.0</v>
      </c>
      <c r="I47" s="260">
        <v>16594.0</v>
      </c>
      <c r="J47" s="260">
        <v>16415.0</v>
      </c>
      <c r="K47" s="260">
        <v>16322.0</v>
      </c>
      <c r="L47" s="260">
        <v>16225.0</v>
      </c>
      <c r="M47" s="260">
        <v>16264.0</v>
      </c>
      <c r="N47" s="261">
        <v>16162.0</v>
      </c>
      <c r="O47" s="308">
        <v>15000.0</v>
      </c>
    </row>
    <row r="48" ht="15.75" customHeight="1">
      <c r="A48" s="260" t="s">
        <v>650</v>
      </c>
      <c r="B48" s="260">
        <v>1787.0</v>
      </c>
      <c r="C48" s="260">
        <v>0.0</v>
      </c>
      <c r="D48" s="260">
        <v>0.0</v>
      </c>
      <c r="E48" s="260">
        <v>0.0</v>
      </c>
      <c r="F48" s="260">
        <v>1740.0</v>
      </c>
      <c r="G48" s="260">
        <v>1730.0</v>
      </c>
      <c r="H48" s="260">
        <v>1720.0</v>
      </c>
      <c r="I48" s="260">
        <v>1720.0</v>
      </c>
      <c r="J48" s="260">
        <v>1701.0</v>
      </c>
      <c r="K48" s="260">
        <v>1692.0</v>
      </c>
      <c r="L48" s="260">
        <v>1682.0</v>
      </c>
      <c r="M48" s="260">
        <v>1685.0</v>
      </c>
      <c r="N48" s="261">
        <v>1675.0</v>
      </c>
      <c r="O48" s="308">
        <v>0.0</v>
      </c>
    </row>
    <row r="49" ht="15.75" customHeight="1">
      <c r="A49" s="260" t="s">
        <v>651</v>
      </c>
      <c r="B49" s="260">
        <v>10000.0</v>
      </c>
      <c r="C49" s="260">
        <v>10000.0</v>
      </c>
      <c r="D49" s="260">
        <v>10000.0</v>
      </c>
      <c r="E49" s="260">
        <v>10000.0</v>
      </c>
      <c r="F49" s="260">
        <v>0.0</v>
      </c>
      <c r="G49" s="260">
        <v>0.0</v>
      </c>
      <c r="H49" s="260">
        <v>0.0</v>
      </c>
      <c r="I49" s="260">
        <v>0.0</v>
      </c>
      <c r="J49" s="260">
        <v>0.0</v>
      </c>
      <c r="K49" s="260">
        <v>0.0</v>
      </c>
      <c r="L49" s="260">
        <v>0.0</v>
      </c>
      <c r="M49" s="260">
        <v>0.0</v>
      </c>
      <c r="N49" s="261">
        <v>0.0</v>
      </c>
      <c r="O49" s="308">
        <v>0.0</v>
      </c>
    </row>
    <row r="50" ht="15.75" customHeight="1">
      <c r="A50" s="260" t="s">
        <v>652</v>
      </c>
      <c r="B50" s="260">
        <v>14500.0</v>
      </c>
      <c r="C50" s="260">
        <v>15000.0</v>
      </c>
      <c r="D50" s="260">
        <v>14700.0</v>
      </c>
      <c r="E50" s="260">
        <v>14500.0</v>
      </c>
      <c r="F50" s="260">
        <v>0.0</v>
      </c>
      <c r="G50" s="260">
        <v>0.0</v>
      </c>
      <c r="H50" s="260">
        <v>0.0</v>
      </c>
      <c r="I50" s="260">
        <v>0.0</v>
      </c>
      <c r="J50" s="260">
        <v>0.0</v>
      </c>
      <c r="K50" s="260">
        <v>0.0</v>
      </c>
      <c r="L50" s="260">
        <v>0.0</v>
      </c>
      <c r="M50" s="260">
        <v>0.0</v>
      </c>
      <c r="N50" s="261">
        <v>0.0</v>
      </c>
      <c r="O50" s="260">
        <v>0.0</v>
      </c>
    </row>
    <row r="51" ht="15.75" customHeight="1">
      <c r="A51" s="260" t="s">
        <v>653</v>
      </c>
      <c r="B51" s="260">
        <v>9000.0</v>
      </c>
      <c r="C51" s="260">
        <v>8800.0</v>
      </c>
      <c r="D51" s="260">
        <v>8500.0</v>
      </c>
      <c r="E51" s="260">
        <v>6500.0</v>
      </c>
      <c r="F51" s="260">
        <v>0.0</v>
      </c>
      <c r="G51" s="260">
        <v>0.0</v>
      </c>
      <c r="H51" s="260">
        <v>0.0</v>
      </c>
      <c r="I51" s="260">
        <v>0.0</v>
      </c>
      <c r="J51" s="260">
        <v>0.0</v>
      </c>
      <c r="K51" s="260">
        <v>0.0</v>
      </c>
      <c r="L51" s="260">
        <v>0.0</v>
      </c>
      <c r="M51" s="260">
        <v>0.0</v>
      </c>
      <c r="N51" s="261">
        <v>0.0</v>
      </c>
      <c r="O51" s="308">
        <v>0.0</v>
      </c>
    </row>
    <row r="52" ht="15.75" customHeight="1">
      <c r="A52" s="260" t="s">
        <v>460</v>
      </c>
      <c r="B52" s="260">
        <v>5000.0</v>
      </c>
      <c r="C52" s="260">
        <v>5000.0</v>
      </c>
      <c r="D52" s="260">
        <v>5000.0</v>
      </c>
      <c r="E52" s="260">
        <v>5000.0</v>
      </c>
      <c r="F52" s="260">
        <v>0.0</v>
      </c>
      <c r="G52" s="260">
        <v>0.0</v>
      </c>
      <c r="H52" s="260">
        <v>0.0</v>
      </c>
      <c r="I52" s="260">
        <v>0.0</v>
      </c>
      <c r="J52" s="260">
        <v>0.0</v>
      </c>
      <c r="K52" s="260">
        <v>0.0</v>
      </c>
      <c r="L52" s="260">
        <v>0.0</v>
      </c>
      <c r="M52" s="260">
        <v>2000.0</v>
      </c>
      <c r="N52" s="261">
        <v>500.0</v>
      </c>
      <c r="O52" s="308">
        <v>0.0</v>
      </c>
    </row>
    <row r="53" ht="15.75" customHeight="1">
      <c r="A53" s="260" t="s">
        <v>654</v>
      </c>
      <c r="B53" s="260">
        <v>7000.0</v>
      </c>
      <c r="C53" s="260">
        <v>6750.0</v>
      </c>
      <c r="D53" s="260">
        <v>6500.0</v>
      </c>
      <c r="E53" s="260">
        <v>6000.0</v>
      </c>
      <c r="F53" s="260">
        <v>5500.0</v>
      </c>
      <c r="G53" s="260">
        <v>5000.0</v>
      </c>
      <c r="H53" s="260">
        <v>4500.0</v>
      </c>
      <c r="I53" s="260">
        <v>4000.0</v>
      </c>
      <c r="J53" s="260">
        <v>3500.0</v>
      </c>
      <c r="K53" s="260">
        <v>3000.0</v>
      </c>
      <c r="L53" s="260">
        <v>2000.0</v>
      </c>
      <c r="M53" s="260">
        <v>2500.0</v>
      </c>
      <c r="N53" s="261">
        <v>3000.0</v>
      </c>
      <c r="O53" s="308">
        <v>0.0</v>
      </c>
    </row>
    <row r="54" ht="15.75" customHeight="1">
      <c r="A54" s="260" t="s">
        <v>655</v>
      </c>
      <c r="B54" s="260">
        <v>1634.0</v>
      </c>
      <c r="C54" s="260">
        <v>0.0</v>
      </c>
      <c r="D54" s="260">
        <v>0.0</v>
      </c>
      <c r="E54" s="260">
        <v>0.0</v>
      </c>
      <c r="F54" s="260">
        <v>0.0</v>
      </c>
      <c r="G54" s="260">
        <v>0.0</v>
      </c>
      <c r="H54" s="260">
        <v>0.0</v>
      </c>
      <c r="I54" s="260">
        <v>0.0</v>
      </c>
      <c r="J54" s="260">
        <v>1500.0</v>
      </c>
      <c r="K54" s="260">
        <v>1000.0</v>
      </c>
      <c r="L54" s="260">
        <v>0.0</v>
      </c>
      <c r="M54" s="260">
        <v>0.0</v>
      </c>
      <c r="N54" s="261">
        <v>0.0</v>
      </c>
      <c r="O54" s="308"/>
    </row>
    <row r="55" ht="15.75" customHeight="1">
      <c r="A55" s="260" t="s">
        <v>656</v>
      </c>
      <c r="B55" s="260">
        <v>1750.0</v>
      </c>
      <c r="C55" s="260">
        <v>0.0</v>
      </c>
      <c r="D55" s="260">
        <v>0.0</v>
      </c>
      <c r="E55" s="260">
        <v>0.0</v>
      </c>
      <c r="F55" s="260">
        <v>0.0</v>
      </c>
      <c r="G55" s="260">
        <v>0.0</v>
      </c>
      <c r="H55" s="260">
        <v>0.0</v>
      </c>
      <c r="I55" s="260">
        <v>0.0</v>
      </c>
      <c r="J55" s="260">
        <v>0.0</v>
      </c>
      <c r="K55" s="260">
        <v>0.0</v>
      </c>
      <c r="L55" s="260">
        <v>0.0</v>
      </c>
      <c r="M55" s="260">
        <v>0.0</v>
      </c>
      <c r="N55" s="261">
        <v>1750.0</v>
      </c>
      <c r="O55" s="308"/>
    </row>
    <row r="56" ht="15.75" customHeight="1">
      <c r="A56" s="260" t="s">
        <v>657</v>
      </c>
      <c r="B56" s="260">
        <v>2710.0</v>
      </c>
      <c r="C56" s="260">
        <v>0.0</v>
      </c>
      <c r="D56" s="260">
        <v>0.0</v>
      </c>
      <c r="E56" s="260">
        <v>0.0</v>
      </c>
      <c r="F56" s="260">
        <v>0.0</v>
      </c>
      <c r="G56" s="260">
        <v>0.0</v>
      </c>
      <c r="H56" s="260">
        <v>0.0</v>
      </c>
      <c r="I56" s="260">
        <v>0.0</v>
      </c>
      <c r="J56" s="260">
        <v>2710.0</v>
      </c>
      <c r="K56" s="260">
        <v>2000.0</v>
      </c>
      <c r="L56" s="260">
        <v>1250.0</v>
      </c>
      <c r="M56" s="260">
        <v>0.0</v>
      </c>
      <c r="N56" s="261">
        <v>0.0</v>
      </c>
      <c r="O56" s="308"/>
    </row>
    <row r="57" ht="15.75" customHeight="1">
      <c r="A57" s="260" t="s">
        <v>658</v>
      </c>
      <c r="B57" s="260">
        <v>0.0</v>
      </c>
      <c r="C57" s="260">
        <v>0.0</v>
      </c>
      <c r="D57" s="260">
        <v>0.0</v>
      </c>
      <c r="E57" s="260">
        <v>0.0</v>
      </c>
      <c r="F57" s="260">
        <v>0.0</v>
      </c>
      <c r="G57" s="260">
        <v>0.0</v>
      </c>
      <c r="H57" s="260">
        <v>0.0</v>
      </c>
      <c r="I57" s="260">
        <v>0.0</v>
      </c>
      <c r="J57" s="260">
        <v>0.0</v>
      </c>
      <c r="K57" s="260">
        <v>0.0</v>
      </c>
      <c r="L57" s="260">
        <v>0.0</v>
      </c>
      <c r="M57" s="260">
        <v>0.0</v>
      </c>
      <c r="N57" s="261">
        <v>0.0</v>
      </c>
      <c r="O57" s="308">
        <v>0.0</v>
      </c>
    </row>
    <row r="58" ht="15.75" customHeight="1">
      <c r="A58" s="260" t="s">
        <v>659</v>
      </c>
      <c r="B58" s="260">
        <v>0.0</v>
      </c>
      <c r="C58" s="260">
        <v>0.0</v>
      </c>
      <c r="D58" s="260">
        <v>0.0</v>
      </c>
      <c r="E58" s="260">
        <v>0.0</v>
      </c>
      <c r="F58" s="260">
        <v>0.0</v>
      </c>
      <c r="G58" s="260">
        <v>0.0</v>
      </c>
      <c r="H58" s="260">
        <v>0.0</v>
      </c>
      <c r="I58" s="260">
        <v>0.0</v>
      </c>
      <c r="J58" s="260">
        <v>0.0</v>
      </c>
      <c r="K58" s="260">
        <v>0.0</v>
      </c>
      <c r="L58" s="260">
        <v>0.0</v>
      </c>
      <c r="M58" s="260">
        <v>0.0</v>
      </c>
      <c r="N58" s="261">
        <v>0.0</v>
      </c>
      <c r="O58" s="308">
        <v>0.0</v>
      </c>
    </row>
    <row r="59" ht="15.75" customHeight="1">
      <c r="A59" s="260" t="s">
        <v>660</v>
      </c>
      <c r="B59" s="260">
        <v>0.0</v>
      </c>
      <c r="C59" s="260">
        <v>0.0</v>
      </c>
      <c r="D59" s="260">
        <v>0.0</v>
      </c>
      <c r="E59" s="260">
        <v>0.0</v>
      </c>
      <c r="F59" s="260">
        <v>0.0</v>
      </c>
      <c r="G59" s="260">
        <v>0.0</v>
      </c>
      <c r="H59" s="260">
        <v>0.0</v>
      </c>
      <c r="I59" s="260">
        <v>0.0</v>
      </c>
      <c r="J59" s="260">
        <v>0.0</v>
      </c>
      <c r="K59" s="260">
        <v>0.0</v>
      </c>
      <c r="L59" s="260">
        <v>0.0</v>
      </c>
      <c r="M59" s="260">
        <v>0.0</v>
      </c>
      <c r="N59" s="261">
        <v>0.0</v>
      </c>
      <c r="O59" s="308">
        <v>0.0</v>
      </c>
    </row>
    <row r="60" ht="15.75" customHeight="1">
      <c r="A60" s="260" t="s">
        <v>661</v>
      </c>
      <c r="B60" s="260">
        <v>0.0</v>
      </c>
      <c r="C60" s="260">
        <v>0.0</v>
      </c>
      <c r="D60" s="260">
        <v>0.0</v>
      </c>
      <c r="E60" s="260">
        <v>0.0</v>
      </c>
      <c r="F60" s="260">
        <v>0.0</v>
      </c>
      <c r="G60" s="260">
        <v>0.0</v>
      </c>
      <c r="H60" s="260">
        <v>0.0</v>
      </c>
      <c r="I60" s="260">
        <v>0.0</v>
      </c>
      <c r="J60" s="260">
        <v>0.0</v>
      </c>
      <c r="K60" s="260">
        <v>0.0</v>
      </c>
      <c r="L60" s="260">
        <v>0.0</v>
      </c>
      <c r="M60" s="260">
        <v>0.0</v>
      </c>
      <c r="N60" s="261">
        <v>0.0</v>
      </c>
      <c r="O60" s="308">
        <v>0.0</v>
      </c>
    </row>
    <row r="61" ht="15.75" customHeight="1">
      <c r="A61" s="260" t="s">
        <v>662</v>
      </c>
      <c r="B61" s="260">
        <v>0.0</v>
      </c>
      <c r="C61" s="260">
        <v>0.0</v>
      </c>
      <c r="D61" s="260">
        <v>0.0</v>
      </c>
      <c r="E61" s="260">
        <v>0.0</v>
      </c>
      <c r="F61" s="260">
        <v>0.0</v>
      </c>
      <c r="G61" s="260">
        <v>0.0</v>
      </c>
      <c r="H61" s="260">
        <v>0.0</v>
      </c>
      <c r="I61" s="260">
        <v>0.0</v>
      </c>
      <c r="J61" s="260">
        <v>0.0</v>
      </c>
      <c r="K61" s="260">
        <v>0.0</v>
      </c>
      <c r="L61" s="260">
        <v>0.0</v>
      </c>
      <c r="M61" s="260">
        <v>0.0</v>
      </c>
      <c r="N61" s="261">
        <v>0.0</v>
      </c>
      <c r="O61" s="308">
        <v>0.0</v>
      </c>
    </row>
    <row r="62" ht="15.75" customHeight="1">
      <c r="A62" s="260"/>
      <c r="B62" s="260"/>
      <c r="C62" s="260"/>
      <c r="D62" s="260"/>
      <c r="E62" s="260"/>
      <c r="F62" s="260"/>
      <c r="G62" s="260"/>
      <c r="H62" s="260"/>
      <c r="I62" s="260"/>
      <c r="J62" s="260"/>
      <c r="K62" s="261"/>
      <c r="L62" s="260"/>
      <c r="M62" s="261"/>
      <c r="N62" s="261"/>
      <c r="O62" s="307"/>
    </row>
    <row r="63" ht="15.75" customHeight="1">
      <c r="A63" s="309" t="s">
        <v>291</v>
      </c>
      <c r="B63" s="309">
        <f>Sum(B46:B62)</f>
        <v>70626</v>
      </c>
      <c r="C63" s="309">
        <f t="shared" ref="C63:O63" si="7">Sum(C47:C61)</f>
        <v>45550</v>
      </c>
      <c r="D63" s="309">
        <f t="shared" si="7"/>
        <v>44700</v>
      </c>
      <c r="E63" s="309">
        <f t="shared" si="7"/>
        <v>42000</v>
      </c>
      <c r="F63" s="309">
        <f t="shared" si="7"/>
        <v>24028</v>
      </c>
      <c r="G63" s="309">
        <f t="shared" si="7"/>
        <v>23421</v>
      </c>
      <c r="H63" s="309">
        <f t="shared" si="7"/>
        <v>22814</v>
      </c>
      <c r="I63" s="309">
        <f t="shared" si="7"/>
        <v>22314</v>
      </c>
      <c r="J63" s="309">
        <f t="shared" si="7"/>
        <v>25826</v>
      </c>
      <c r="K63" s="309">
        <f t="shared" si="7"/>
        <v>24014</v>
      </c>
      <c r="L63" s="309">
        <f t="shared" si="7"/>
        <v>21157</v>
      </c>
      <c r="M63" s="309">
        <f t="shared" si="7"/>
        <v>22449</v>
      </c>
      <c r="N63" s="310">
        <f t="shared" si="7"/>
        <v>23087</v>
      </c>
      <c r="O63" s="309">
        <f t="shared" si="7"/>
        <v>15000</v>
      </c>
    </row>
    <row r="64" ht="15.75" customHeight="1"/>
    <row r="65" ht="15.75" customHeight="1">
      <c r="J65" s="130"/>
    </row>
    <row r="66" ht="15.75" customHeight="1"/>
    <row r="67" ht="15.75" customHeight="1"/>
    <row r="68" ht="15.75" customHeight="1"/>
    <row r="69" ht="15.75" customHeight="1">
      <c r="A69" s="291" t="s">
        <v>663</v>
      </c>
      <c r="B69" s="291" t="s">
        <v>35</v>
      </c>
      <c r="C69" s="291" t="s">
        <v>0</v>
      </c>
      <c r="D69" s="291" t="s">
        <v>1</v>
      </c>
      <c r="E69" s="291" t="s">
        <v>2</v>
      </c>
      <c r="F69" s="291" t="s">
        <v>3</v>
      </c>
      <c r="G69" s="291" t="s">
        <v>4</v>
      </c>
      <c r="H69" s="291" t="s">
        <v>5</v>
      </c>
      <c r="I69" s="291" t="s">
        <v>6</v>
      </c>
      <c r="J69" s="291" t="s">
        <v>7</v>
      </c>
      <c r="K69" s="291" t="s">
        <v>8</v>
      </c>
      <c r="L69" s="291" t="s">
        <v>9</v>
      </c>
      <c r="M69" s="291" t="s">
        <v>10</v>
      </c>
      <c r="N69" s="291" t="s">
        <v>11</v>
      </c>
      <c r="O69" s="291" t="s">
        <v>648</v>
      </c>
    </row>
    <row r="70" ht="15.75" customHeight="1">
      <c r="A70" s="291"/>
      <c r="B70" s="291"/>
      <c r="C70" s="291"/>
      <c r="D70" s="291"/>
      <c r="E70" s="291"/>
      <c r="F70" s="291"/>
      <c r="G70" s="291"/>
      <c r="H70" s="291"/>
      <c r="I70" s="291"/>
      <c r="J70" s="291"/>
      <c r="K70" s="291"/>
      <c r="L70" s="291"/>
      <c r="M70" s="291"/>
      <c r="N70" s="291"/>
      <c r="O70" s="311"/>
    </row>
    <row r="71" ht="15.75" customHeight="1">
      <c r="A71" s="291" t="s">
        <v>511</v>
      </c>
      <c r="B71" s="291">
        <v>6500.0</v>
      </c>
      <c r="C71" s="293"/>
      <c r="D71" s="293"/>
      <c r="E71" s="293"/>
      <c r="F71" s="293"/>
      <c r="G71" s="293"/>
      <c r="H71" s="293"/>
      <c r="I71" s="293"/>
      <c r="J71" s="293"/>
      <c r="K71" s="293"/>
      <c r="L71" s="293"/>
      <c r="M71" s="293"/>
      <c r="N71" s="293"/>
      <c r="O71" s="312">
        <v>0.0</v>
      </c>
    </row>
    <row r="72" ht="15.75" customHeight="1">
      <c r="A72" s="291" t="s">
        <v>460</v>
      </c>
      <c r="B72" s="291">
        <v>6928.0</v>
      </c>
      <c r="C72" s="293" t="s">
        <v>664</v>
      </c>
      <c r="D72" s="293"/>
      <c r="E72" s="293"/>
      <c r="F72" s="293"/>
      <c r="G72" s="293"/>
      <c r="H72" s="293"/>
      <c r="I72" s="293" t="s">
        <v>665</v>
      </c>
      <c r="J72" s="293" t="s">
        <v>666</v>
      </c>
      <c r="K72" s="293"/>
      <c r="L72" s="293"/>
      <c r="M72" s="293" t="s">
        <v>667</v>
      </c>
      <c r="N72" s="293"/>
      <c r="O72" s="312">
        <v>0.0</v>
      </c>
    </row>
    <row r="73" ht="15.75" customHeight="1">
      <c r="A73" s="291" t="s">
        <v>668</v>
      </c>
      <c r="B73" s="291">
        <v>8928.0</v>
      </c>
      <c r="C73" s="293"/>
      <c r="D73" s="293"/>
      <c r="E73" s="293"/>
      <c r="F73" s="293" t="s">
        <v>669</v>
      </c>
      <c r="G73" s="293" t="s">
        <v>670</v>
      </c>
      <c r="H73" s="293"/>
      <c r="I73" s="293"/>
      <c r="J73" s="293"/>
      <c r="K73" s="293"/>
      <c r="L73" s="293"/>
      <c r="M73" s="293"/>
      <c r="N73" s="293"/>
      <c r="O73" s="312">
        <v>0.0</v>
      </c>
    </row>
    <row r="74" ht="15.75" customHeight="1">
      <c r="A74" s="291" t="s">
        <v>662</v>
      </c>
      <c r="B74" s="291">
        <v>500.0</v>
      </c>
      <c r="C74" s="293" t="s">
        <v>671</v>
      </c>
      <c r="D74" s="293"/>
      <c r="E74" s="293"/>
      <c r="F74" s="293"/>
      <c r="G74" s="293"/>
      <c r="H74" s="293"/>
      <c r="I74" s="293"/>
      <c r="J74" s="293"/>
      <c r="K74" s="293"/>
      <c r="L74" s="293"/>
      <c r="M74" s="293"/>
      <c r="N74" s="293"/>
      <c r="O74" s="312">
        <v>0.0</v>
      </c>
    </row>
    <row r="75" ht="15.75" customHeight="1">
      <c r="A75" s="291" t="s">
        <v>661</v>
      </c>
      <c r="B75" s="291">
        <v>0.0</v>
      </c>
      <c r="C75" s="293"/>
      <c r="D75" s="293" t="s">
        <v>672</v>
      </c>
      <c r="E75" s="293"/>
      <c r="F75" s="293"/>
      <c r="G75" s="293"/>
      <c r="H75" s="293"/>
      <c r="I75" s="293"/>
      <c r="J75" s="293"/>
      <c r="K75" s="293"/>
      <c r="L75" s="293"/>
      <c r="M75" s="293"/>
      <c r="N75" s="293"/>
      <c r="O75" s="312">
        <v>0.0</v>
      </c>
    </row>
    <row r="76" ht="15.75" customHeight="1">
      <c r="A76" s="291" t="s">
        <v>673</v>
      </c>
      <c r="B76" s="291">
        <v>0.0</v>
      </c>
      <c r="C76" s="293"/>
      <c r="D76" s="293"/>
      <c r="E76" s="293"/>
      <c r="F76" s="293"/>
      <c r="G76" s="293"/>
      <c r="H76" s="293"/>
      <c r="I76" s="293"/>
      <c r="J76" s="293"/>
      <c r="K76" s="293"/>
      <c r="L76" s="293"/>
      <c r="M76" s="293"/>
      <c r="N76" s="293"/>
      <c r="O76" s="312">
        <v>0.0</v>
      </c>
    </row>
    <row r="77" ht="15.75" customHeight="1">
      <c r="A77" s="291" t="s">
        <v>674</v>
      </c>
      <c r="B77" s="291">
        <v>0.0</v>
      </c>
      <c r="C77" s="293"/>
      <c r="D77" s="293"/>
      <c r="E77" s="293"/>
      <c r="F77" s="293"/>
      <c r="G77" s="293"/>
      <c r="H77" s="293"/>
      <c r="I77" s="293"/>
      <c r="J77" s="293"/>
      <c r="K77" s="293"/>
      <c r="L77" s="293"/>
      <c r="M77" s="293"/>
      <c r="N77" s="293"/>
      <c r="O77" s="312">
        <v>0.0</v>
      </c>
    </row>
    <row r="78" ht="15.75" customHeight="1">
      <c r="A78" s="291"/>
      <c r="B78" s="291"/>
      <c r="C78" s="291"/>
      <c r="D78" s="291"/>
      <c r="E78" s="291"/>
      <c r="F78" s="291"/>
      <c r="G78" s="291"/>
      <c r="H78" s="291"/>
      <c r="I78" s="291"/>
      <c r="J78" s="292"/>
      <c r="K78" s="291"/>
      <c r="L78" s="291"/>
      <c r="M78" s="291"/>
      <c r="N78" s="291"/>
      <c r="O78" s="311"/>
    </row>
    <row r="79" ht="15.75" customHeight="1">
      <c r="A79" s="294" t="s">
        <v>291</v>
      </c>
      <c r="B79" s="294">
        <f>Sum(B70:B77)</f>
        <v>22856</v>
      </c>
      <c r="C79" s="294">
        <v>3665.0</v>
      </c>
      <c r="D79" s="294">
        <v>1631.0</v>
      </c>
      <c r="E79" s="294">
        <v>0.0</v>
      </c>
      <c r="F79" s="294">
        <v>269.0</v>
      </c>
      <c r="G79" s="294">
        <v>338.0</v>
      </c>
      <c r="H79" s="294">
        <v>0.0</v>
      </c>
      <c r="I79" s="294">
        <v>1977.0</v>
      </c>
      <c r="J79" s="294">
        <v>488.0</v>
      </c>
      <c r="K79" s="294">
        <v>0.0</v>
      </c>
      <c r="L79" s="294">
        <v>0.0</v>
      </c>
      <c r="M79" s="294">
        <f t="shared" ref="M79:O79" si="8">Sum(M74)</f>
        <v>0</v>
      </c>
      <c r="N79" s="294">
        <f t="shared" si="8"/>
        <v>0</v>
      </c>
      <c r="O79" s="294">
        <f t="shared" si="8"/>
        <v>0</v>
      </c>
    </row>
    <row r="80" ht="15.75" customHeight="1"/>
    <row r="81" ht="15.75" customHeight="1"/>
    <row r="82" ht="15.75" customHeight="1"/>
    <row r="83" ht="15.75" customHeight="1">
      <c r="A83" s="295" t="s">
        <v>675</v>
      </c>
      <c r="B83" s="295"/>
      <c r="C83" s="295" t="s">
        <v>676</v>
      </c>
      <c r="D83" s="295" t="s">
        <v>677</v>
      </c>
      <c r="E83" s="295" t="s">
        <v>678</v>
      </c>
      <c r="F83" s="295" t="s">
        <v>630</v>
      </c>
      <c r="G83" s="295" t="s">
        <v>606</v>
      </c>
      <c r="H83" s="295" t="s">
        <v>607</v>
      </c>
      <c r="I83" s="295" t="s">
        <v>608</v>
      </c>
      <c r="J83" s="295" t="s">
        <v>609</v>
      </c>
      <c r="K83" s="295" t="s">
        <v>610</v>
      </c>
      <c r="L83" s="295" t="s">
        <v>611</v>
      </c>
      <c r="M83" s="295" t="s">
        <v>612</v>
      </c>
      <c r="N83" s="295" t="s">
        <v>613</v>
      </c>
      <c r="O83" s="296"/>
    </row>
    <row r="84" ht="15.75" customHeight="1">
      <c r="A84" s="296"/>
      <c r="B84" s="296"/>
      <c r="C84" s="296"/>
      <c r="D84" s="296"/>
      <c r="E84" s="296"/>
      <c r="F84" s="296"/>
      <c r="G84" s="296"/>
      <c r="H84" s="296"/>
      <c r="I84" s="296"/>
      <c r="J84" s="296"/>
      <c r="K84" s="296"/>
      <c r="L84" s="296"/>
      <c r="M84" s="296"/>
      <c r="N84" s="296"/>
      <c r="O84" s="296"/>
    </row>
    <row r="85" ht="15.75" customHeight="1">
      <c r="A85" s="296" t="s">
        <v>516</v>
      </c>
      <c r="B85" s="296"/>
      <c r="C85" s="296">
        <v>4753.92</v>
      </c>
      <c r="D85" s="296">
        <v>4753.92</v>
      </c>
      <c r="E85" s="296">
        <v>5348.16</v>
      </c>
      <c r="F85" s="296">
        <v>5942.4</v>
      </c>
      <c r="G85" s="296">
        <v>5348.16</v>
      </c>
      <c r="H85" s="296">
        <v>5942.4</v>
      </c>
      <c r="I85" s="296">
        <v>5942.4</v>
      </c>
      <c r="J85" s="296">
        <v>5942.4</v>
      </c>
      <c r="K85" s="296">
        <v>5942.4</v>
      </c>
      <c r="L85" s="296">
        <v>5942.4</v>
      </c>
      <c r="M85" s="296"/>
      <c r="N85" s="296"/>
      <c r="O85" s="296"/>
    </row>
    <row r="86" ht="15.75" customHeight="1">
      <c r="A86" s="296" t="s">
        <v>517</v>
      </c>
      <c r="B86" s="296"/>
      <c r="C86" s="296">
        <v>5348.16</v>
      </c>
      <c r="D86" s="296">
        <v>4753.92</v>
      </c>
      <c r="E86" s="296">
        <v>5942.4</v>
      </c>
      <c r="F86" s="296">
        <v>5793.84</v>
      </c>
      <c r="G86" s="296">
        <v>5942.4</v>
      </c>
      <c r="H86" s="296">
        <v>5942.4</v>
      </c>
      <c r="I86" s="296">
        <v>5348.16</v>
      </c>
      <c r="J86" s="296">
        <v>4753.92</v>
      </c>
      <c r="K86" s="296">
        <v>5942.4</v>
      </c>
      <c r="L86" s="296">
        <v>5348.16</v>
      </c>
      <c r="M86" s="296"/>
      <c r="N86" s="296"/>
      <c r="O86" s="296"/>
    </row>
    <row r="87" ht="15.75" customHeight="1">
      <c r="A87" s="296" t="s">
        <v>518</v>
      </c>
      <c r="B87" s="296"/>
      <c r="C87" s="296"/>
      <c r="D87" s="296"/>
      <c r="E87" s="296"/>
      <c r="F87" s="296"/>
      <c r="G87" s="296"/>
      <c r="H87" s="296"/>
      <c r="I87" s="296"/>
      <c r="J87" s="296"/>
      <c r="K87" s="296"/>
      <c r="L87" s="296"/>
      <c r="M87" s="296"/>
      <c r="N87" s="296"/>
      <c r="O87" s="296"/>
    </row>
    <row r="88" ht="15.75" customHeight="1">
      <c r="A88" s="296" t="s">
        <v>519</v>
      </c>
      <c r="B88" s="296"/>
      <c r="C88" s="296">
        <v>3673.28</v>
      </c>
      <c r="D88" s="296">
        <v>4015.33</v>
      </c>
      <c r="E88" s="296">
        <v>4015.33</v>
      </c>
      <c r="F88" s="296">
        <v>3343.59</v>
      </c>
      <c r="G88" s="296">
        <v>4015.33</v>
      </c>
      <c r="H88" s="296">
        <v>4015.33</v>
      </c>
      <c r="I88" s="296">
        <v>3586.35</v>
      </c>
      <c r="J88" s="296">
        <v>3673.28</v>
      </c>
      <c r="K88" s="296"/>
      <c r="L88" s="296">
        <v>3615.33</v>
      </c>
      <c r="M88" s="296">
        <v>2497.46</v>
      </c>
      <c r="N88" s="296"/>
      <c r="O88" s="296"/>
    </row>
    <row r="89" ht="15.75" customHeight="1">
      <c r="A89" s="296" t="s">
        <v>520</v>
      </c>
      <c r="B89" s="296"/>
      <c r="C89" s="296">
        <v>2000.0</v>
      </c>
      <c r="D89" s="296">
        <v>2500.0</v>
      </c>
      <c r="E89" s="296">
        <v>1000.0</v>
      </c>
      <c r="F89" s="296">
        <v>1000.0</v>
      </c>
      <c r="G89" s="296">
        <v>0.0</v>
      </c>
      <c r="H89" s="296">
        <v>0.0</v>
      </c>
      <c r="I89" s="296">
        <v>0.0</v>
      </c>
      <c r="J89" s="296">
        <v>1000.0</v>
      </c>
      <c r="K89" s="296"/>
      <c r="L89" s="296">
        <v>2000.0</v>
      </c>
      <c r="M89" s="296">
        <v>500.0</v>
      </c>
      <c r="N89" s="296"/>
      <c r="O89" s="296"/>
    </row>
    <row r="90" ht="15.75" customHeight="1">
      <c r="A90" s="296" t="s">
        <v>521</v>
      </c>
      <c r="B90" s="296"/>
      <c r="C90" s="296">
        <v>1500.0</v>
      </c>
      <c r="D90" s="296">
        <v>0.0</v>
      </c>
      <c r="E90" s="296">
        <v>4000.0</v>
      </c>
      <c r="F90" s="296">
        <v>4000.0</v>
      </c>
      <c r="G90" s="296">
        <v>3000.0</v>
      </c>
      <c r="H90" s="296">
        <v>4000.0</v>
      </c>
      <c r="I90" s="296">
        <v>4000.0</v>
      </c>
      <c r="J90" s="296">
        <v>4000.0</v>
      </c>
      <c r="K90" s="296"/>
      <c r="L90" s="296"/>
      <c r="M90" s="296"/>
      <c r="N90" s="296"/>
      <c r="O90" s="296"/>
    </row>
    <row r="91" ht="15.75" customHeight="1">
      <c r="A91" s="296" t="s">
        <v>679</v>
      </c>
      <c r="B91" s="296"/>
      <c r="C91" s="296">
        <v>0.0</v>
      </c>
      <c r="D91" s="296">
        <v>0.0</v>
      </c>
      <c r="E91" s="296">
        <v>0.0</v>
      </c>
      <c r="F91" s="296">
        <v>0.0</v>
      </c>
      <c r="G91" s="296">
        <v>0.0</v>
      </c>
      <c r="H91" s="296">
        <v>0.0</v>
      </c>
      <c r="I91" s="296">
        <v>0.0</v>
      </c>
      <c r="J91" s="296">
        <v>2500.0</v>
      </c>
      <c r="K91" s="296"/>
      <c r="L91" s="296"/>
      <c r="M91" s="296"/>
      <c r="N91" s="296"/>
      <c r="O91" s="296"/>
    </row>
    <row r="92" ht="15.75" customHeight="1">
      <c r="A92" s="296"/>
      <c r="B92" s="296"/>
      <c r="C92" s="296"/>
      <c r="D92" s="296"/>
      <c r="E92" s="296"/>
      <c r="F92" s="296"/>
      <c r="G92" s="296"/>
      <c r="H92" s="296"/>
      <c r="I92" s="296"/>
      <c r="J92" s="296"/>
      <c r="K92" s="296"/>
      <c r="L92" s="296"/>
      <c r="M92" s="296"/>
      <c r="N92" s="296"/>
      <c r="O92" s="296"/>
    </row>
    <row r="93" ht="15.75" customHeight="1">
      <c r="A93" s="296"/>
      <c r="B93" s="296"/>
      <c r="C93" s="296"/>
      <c r="D93" s="296"/>
      <c r="E93" s="296"/>
      <c r="F93" s="296"/>
      <c r="G93" s="296"/>
      <c r="H93" s="296"/>
      <c r="I93" s="296"/>
      <c r="J93" s="296"/>
      <c r="K93" s="296"/>
      <c r="L93" s="296"/>
      <c r="M93" s="296"/>
      <c r="N93" s="296"/>
      <c r="O93" s="296"/>
    </row>
    <row r="94" ht="15.75" customHeight="1">
      <c r="A94" s="297"/>
      <c r="B94" s="297"/>
      <c r="C94" s="297"/>
      <c r="D94" s="297"/>
      <c r="E94" s="297"/>
      <c r="F94" s="297"/>
      <c r="G94" s="297"/>
      <c r="H94" s="297"/>
      <c r="I94" s="297"/>
      <c r="J94" s="297"/>
      <c r="K94" s="297"/>
      <c r="L94" s="297"/>
      <c r="M94" s="297"/>
      <c r="N94" s="297"/>
      <c r="O94" s="297"/>
    </row>
    <row r="95" ht="15.75" customHeight="1">
      <c r="A95" s="297"/>
      <c r="B95" s="297"/>
      <c r="C95" s="297"/>
      <c r="D95" s="297"/>
      <c r="E95" s="297"/>
      <c r="F95" s="297"/>
      <c r="G95" s="297"/>
      <c r="H95" s="297"/>
      <c r="I95" s="297"/>
      <c r="J95" s="297"/>
      <c r="K95" s="297"/>
      <c r="L95" s="297"/>
      <c r="M95" s="297"/>
      <c r="N95" s="297"/>
      <c r="O95" s="297"/>
    </row>
    <row r="96" ht="15.75" customHeight="1">
      <c r="A96" s="297"/>
      <c r="B96" s="297"/>
      <c r="C96" s="297"/>
      <c r="D96" s="297"/>
      <c r="E96" s="297"/>
      <c r="F96" s="297"/>
      <c r="G96" s="297"/>
      <c r="H96" s="297"/>
      <c r="I96" s="297"/>
      <c r="J96" s="297"/>
      <c r="K96" s="297"/>
      <c r="L96" s="297"/>
      <c r="M96" s="297"/>
      <c r="N96" s="297"/>
      <c r="O96" s="297"/>
    </row>
    <row r="97" ht="15.75" customHeight="1">
      <c r="A97" s="297"/>
      <c r="B97" s="297"/>
      <c r="C97" s="297"/>
      <c r="D97" s="297"/>
      <c r="E97" s="297"/>
      <c r="F97" s="297"/>
      <c r="G97" s="297"/>
      <c r="H97" s="297"/>
      <c r="I97" s="297"/>
      <c r="J97" s="297"/>
      <c r="K97" s="297"/>
      <c r="L97" s="297"/>
      <c r="M97" s="297"/>
      <c r="N97" s="297"/>
      <c r="O97" s="297"/>
    </row>
    <row r="98" ht="15.75" customHeight="1">
      <c r="A98" s="297"/>
      <c r="B98" s="297"/>
      <c r="C98" s="297"/>
      <c r="D98" s="297"/>
      <c r="E98" s="297"/>
      <c r="F98" s="297"/>
      <c r="G98" s="298"/>
      <c r="H98" s="297"/>
      <c r="I98" s="297"/>
      <c r="J98" s="297"/>
      <c r="K98" s="297"/>
      <c r="L98" s="297"/>
      <c r="M98" s="297"/>
      <c r="N98" s="297"/>
      <c r="O98" s="297"/>
    </row>
    <row r="99" ht="15.75" customHeight="1">
      <c r="A99" s="297"/>
      <c r="B99" s="297"/>
      <c r="C99" s="297"/>
      <c r="D99" s="297"/>
      <c r="E99" s="297"/>
      <c r="F99" s="297"/>
      <c r="G99" s="298"/>
      <c r="H99" s="297"/>
      <c r="I99" s="297"/>
      <c r="J99" s="297"/>
      <c r="K99" s="297"/>
      <c r="L99" s="297"/>
      <c r="M99" s="297"/>
      <c r="N99" s="297"/>
      <c r="O99" s="297"/>
    </row>
    <row r="100" ht="15.75" customHeight="1">
      <c r="A100" s="297"/>
      <c r="B100" s="297"/>
      <c r="C100" s="297"/>
      <c r="D100" s="297"/>
      <c r="E100" s="297"/>
      <c r="F100" s="297"/>
      <c r="G100" s="298"/>
      <c r="H100" s="297"/>
      <c r="I100" s="297"/>
      <c r="J100" s="297"/>
      <c r="K100" s="297"/>
      <c r="L100" s="297"/>
      <c r="M100" s="297"/>
      <c r="N100" s="297"/>
      <c r="O100" s="297"/>
    </row>
    <row r="101" ht="15.75" customHeight="1">
      <c r="A101" s="297"/>
      <c r="B101" s="297"/>
      <c r="C101" s="297"/>
      <c r="D101" s="297"/>
      <c r="E101" s="297"/>
      <c r="F101" s="297"/>
      <c r="G101" s="298"/>
      <c r="H101" s="297"/>
      <c r="I101" s="297"/>
      <c r="J101" s="297"/>
      <c r="K101" s="297"/>
      <c r="L101" s="297"/>
      <c r="M101" s="297"/>
      <c r="N101" s="297"/>
      <c r="O101" s="297"/>
    </row>
    <row r="102" ht="15.75" customHeight="1">
      <c r="A102" s="297"/>
      <c r="B102" s="297"/>
      <c r="C102" s="297"/>
      <c r="D102" s="297"/>
      <c r="E102" s="297"/>
      <c r="F102" s="297"/>
      <c r="G102" s="298"/>
      <c r="H102" s="297"/>
      <c r="I102" s="297"/>
      <c r="J102" s="297"/>
      <c r="K102" s="297"/>
      <c r="L102" s="297"/>
      <c r="M102" s="297"/>
      <c r="N102" s="297"/>
      <c r="O102" s="297"/>
    </row>
    <row r="103" ht="15.75" customHeight="1">
      <c r="A103" s="297"/>
      <c r="B103" s="297"/>
      <c r="C103" s="297"/>
      <c r="D103" s="297"/>
      <c r="E103" s="297"/>
      <c r="F103" s="297"/>
      <c r="G103" s="298"/>
      <c r="H103" s="297"/>
      <c r="I103" s="297"/>
      <c r="J103" s="297"/>
      <c r="K103" s="297"/>
      <c r="L103" s="297"/>
      <c r="M103" s="297"/>
      <c r="N103" s="297"/>
      <c r="O103" s="297"/>
    </row>
    <row r="104" ht="15.75" customHeight="1">
      <c r="A104" s="297"/>
      <c r="B104" s="297"/>
      <c r="C104" s="297"/>
      <c r="D104" s="297"/>
      <c r="E104" s="297"/>
      <c r="F104" s="297"/>
      <c r="G104" s="297"/>
      <c r="H104" s="297"/>
      <c r="I104" s="297"/>
      <c r="J104" s="297"/>
      <c r="K104" s="297"/>
      <c r="L104" s="297"/>
      <c r="M104" s="297"/>
      <c r="N104" s="297"/>
      <c r="O104" s="297"/>
    </row>
    <row r="105" ht="15.75" customHeight="1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>
      <c r="A115" s="206" t="s">
        <v>680</v>
      </c>
      <c r="B115" s="206" t="s">
        <v>35</v>
      </c>
      <c r="C115" s="206" t="s">
        <v>0</v>
      </c>
      <c r="D115" s="206" t="s">
        <v>1</v>
      </c>
      <c r="E115" s="206" t="s">
        <v>2</v>
      </c>
      <c r="F115" s="206" t="s">
        <v>3</v>
      </c>
      <c r="G115" s="206" t="s">
        <v>4</v>
      </c>
      <c r="H115" s="206" t="s">
        <v>5</v>
      </c>
      <c r="I115" s="206" t="s">
        <v>6</v>
      </c>
      <c r="J115" s="206" t="s">
        <v>7</v>
      </c>
      <c r="K115" s="206" t="s">
        <v>8</v>
      </c>
      <c r="L115" s="206" t="s">
        <v>9</v>
      </c>
      <c r="M115" s="206" t="s">
        <v>10</v>
      </c>
      <c r="N115" s="206" t="s">
        <v>11</v>
      </c>
      <c r="O115" s="206" t="s">
        <v>648</v>
      </c>
    </row>
    <row r="116" ht="15.75" customHeight="1">
      <c r="A116" s="206"/>
      <c r="B116" s="206"/>
      <c r="C116" s="206"/>
      <c r="D116" s="206"/>
      <c r="E116" s="206"/>
      <c r="F116" s="206"/>
      <c r="G116" s="206"/>
      <c r="H116" s="206"/>
      <c r="I116" s="206"/>
      <c r="J116" s="206"/>
      <c r="K116" s="206"/>
      <c r="L116" s="206"/>
      <c r="M116" s="206"/>
      <c r="N116" s="206"/>
      <c r="O116" s="313"/>
    </row>
    <row r="117" ht="15.75" customHeight="1">
      <c r="A117" s="206" t="s">
        <v>681</v>
      </c>
      <c r="B117" s="206">
        <v>1025.0</v>
      </c>
      <c r="C117" s="206"/>
      <c r="D117" s="206"/>
      <c r="E117" s="206"/>
      <c r="F117" s="206"/>
      <c r="G117" s="206">
        <v>1325.0</v>
      </c>
      <c r="H117" s="206"/>
      <c r="I117" s="206"/>
      <c r="J117" s="206">
        <v>1500.0</v>
      </c>
      <c r="K117" s="206"/>
      <c r="L117" s="206">
        <v>2000.0</v>
      </c>
      <c r="M117" s="206"/>
      <c r="N117" s="206">
        <v>4000.0</v>
      </c>
      <c r="O117" s="313"/>
    </row>
    <row r="118" ht="15.75" customHeight="1">
      <c r="A118" s="206" t="s">
        <v>682</v>
      </c>
      <c r="B118" s="206">
        <v>25.0</v>
      </c>
      <c r="C118" s="206"/>
      <c r="D118" s="206"/>
      <c r="E118" s="206"/>
      <c r="F118" s="206"/>
      <c r="G118" s="206">
        <v>500.0</v>
      </c>
      <c r="H118" s="206"/>
      <c r="I118" s="206"/>
      <c r="J118" s="206">
        <v>1035.0</v>
      </c>
      <c r="K118" s="206"/>
      <c r="L118" s="206">
        <v>1750.0</v>
      </c>
      <c r="M118" s="206"/>
      <c r="N118" s="206"/>
      <c r="O118" s="313"/>
    </row>
    <row r="119" ht="15.75" customHeight="1">
      <c r="A119" s="206" t="s">
        <v>683</v>
      </c>
      <c r="B119" s="206">
        <v>44355.0</v>
      </c>
      <c r="C119" s="206"/>
      <c r="D119" s="206"/>
      <c r="E119" s="206"/>
      <c r="F119" s="206"/>
      <c r="G119" s="206">
        <v>45619.0</v>
      </c>
      <c r="H119" s="206"/>
      <c r="I119" s="206"/>
      <c r="J119" s="206">
        <v>46725.0</v>
      </c>
      <c r="K119" s="206"/>
      <c r="L119" s="206">
        <v>47323.0</v>
      </c>
      <c r="M119" s="206"/>
      <c r="N119" s="206"/>
      <c r="O119" s="313"/>
    </row>
    <row r="120" ht="15.75" customHeight="1">
      <c r="A120" s="206" t="s">
        <v>684</v>
      </c>
      <c r="B120" s="206">
        <v>2600.0</v>
      </c>
      <c r="C120" s="206"/>
      <c r="D120" s="206"/>
      <c r="E120" s="206"/>
      <c r="F120" s="206"/>
      <c r="G120" s="206">
        <v>2782.0</v>
      </c>
      <c r="H120" s="206"/>
      <c r="I120" s="206"/>
      <c r="J120" s="206">
        <v>2850.0</v>
      </c>
      <c r="K120" s="206"/>
      <c r="L120" s="206">
        <v>3105.0</v>
      </c>
      <c r="M120" s="206"/>
      <c r="N120" s="206"/>
      <c r="O120" s="313"/>
    </row>
    <row r="121" ht="15.75" customHeight="1">
      <c r="A121" s="206" t="s">
        <v>685</v>
      </c>
      <c r="B121" s="206">
        <v>9200.0</v>
      </c>
      <c r="C121" s="206"/>
      <c r="D121" s="206"/>
      <c r="E121" s="206"/>
      <c r="F121" s="206"/>
      <c r="G121" s="206">
        <v>9203.0</v>
      </c>
      <c r="H121" s="206"/>
      <c r="I121" s="206"/>
      <c r="J121" s="206">
        <v>9650.0</v>
      </c>
      <c r="K121" s="206"/>
      <c r="L121" s="206">
        <v>11650.0</v>
      </c>
      <c r="M121" s="206"/>
      <c r="N121" s="206"/>
      <c r="O121" s="313"/>
    </row>
    <row r="122" ht="15.75" customHeight="1">
      <c r="A122" s="206" t="s">
        <v>686</v>
      </c>
      <c r="B122" s="206">
        <v>0.0</v>
      </c>
      <c r="C122" s="206"/>
      <c r="D122" s="206"/>
      <c r="E122" s="206"/>
      <c r="F122" s="206"/>
      <c r="G122" s="206">
        <v>0.0</v>
      </c>
      <c r="H122" s="206"/>
      <c r="I122" s="206"/>
      <c r="J122" s="206">
        <v>4250.0</v>
      </c>
      <c r="K122" s="206"/>
      <c r="L122" s="206"/>
      <c r="M122" s="206"/>
      <c r="N122" s="206"/>
      <c r="O122" s="313"/>
    </row>
    <row r="123" ht="15.75" customHeight="1">
      <c r="A123" s="206" t="s">
        <v>687</v>
      </c>
      <c r="B123" s="206">
        <v>11745.0</v>
      </c>
      <c r="C123" s="206"/>
      <c r="D123" s="206"/>
      <c r="E123" s="206"/>
      <c r="F123" s="206"/>
      <c r="G123" s="206">
        <v>11745.0</v>
      </c>
      <c r="H123" s="206"/>
      <c r="I123" s="206"/>
      <c r="J123" s="206">
        <v>13550.0</v>
      </c>
      <c r="K123" s="206"/>
      <c r="L123" s="206">
        <v>14850.0</v>
      </c>
      <c r="M123" s="206"/>
      <c r="N123" s="206"/>
      <c r="O123" s="313"/>
    </row>
    <row r="124" ht="15.75" customHeight="1">
      <c r="A124" s="206" t="s">
        <v>688</v>
      </c>
      <c r="B124" s="206">
        <v>11555.0</v>
      </c>
      <c r="C124" s="206"/>
      <c r="D124" s="206"/>
      <c r="E124" s="206"/>
      <c r="F124" s="206"/>
      <c r="G124" s="206">
        <v>12265.0</v>
      </c>
      <c r="H124" s="206"/>
      <c r="I124" s="206"/>
      <c r="J124" s="206">
        <v>13700.0</v>
      </c>
      <c r="K124" s="206"/>
      <c r="L124" s="206">
        <v>15000.0</v>
      </c>
      <c r="M124" s="206"/>
      <c r="N124" s="206"/>
      <c r="O124" s="313"/>
    </row>
    <row r="125" ht="15.75" customHeight="1">
      <c r="A125" s="206"/>
      <c r="B125" s="206"/>
      <c r="C125" s="206"/>
      <c r="D125" s="206"/>
      <c r="E125" s="206"/>
      <c r="F125" s="206"/>
      <c r="G125" s="206"/>
      <c r="H125" s="206"/>
      <c r="I125" s="206"/>
      <c r="J125" s="209"/>
      <c r="K125" s="206"/>
      <c r="L125" s="206"/>
      <c r="M125" s="206"/>
      <c r="N125" s="206"/>
      <c r="O125" s="313"/>
    </row>
    <row r="126" ht="15.75" customHeight="1">
      <c r="A126" s="206" t="s">
        <v>291</v>
      </c>
      <c r="B126" s="206">
        <f t="shared" ref="B126:O126" si="9">Sum(B117:B124)</f>
        <v>80505</v>
      </c>
      <c r="C126" s="206">
        <f t="shared" si="9"/>
        <v>0</v>
      </c>
      <c r="D126" s="206">
        <f t="shared" si="9"/>
        <v>0</v>
      </c>
      <c r="E126" s="206">
        <f t="shared" si="9"/>
        <v>0</v>
      </c>
      <c r="F126" s="206">
        <f t="shared" si="9"/>
        <v>0</v>
      </c>
      <c r="G126" s="206">
        <f t="shared" si="9"/>
        <v>83439</v>
      </c>
      <c r="H126" s="206">
        <f t="shared" si="9"/>
        <v>0</v>
      </c>
      <c r="I126" s="206">
        <f t="shared" si="9"/>
        <v>0</v>
      </c>
      <c r="J126" s="206">
        <f t="shared" si="9"/>
        <v>93260</v>
      </c>
      <c r="K126" s="206">
        <f t="shared" si="9"/>
        <v>0</v>
      </c>
      <c r="L126" s="206">
        <f t="shared" si="9"/>
        <v>95678</v>
      </c>
      <c r="M126" s="206">
        <f t="shared" si="9"/>
        <v>0</v>
      </c>
      <c r="N126" s="206">
        <f t="shared" si="9"/>
        <v>4000</v>
      </c>
      <c r="O126" s="206">
        <f t="shared" si="9"/>
        <v>0</v>
      </c>
    </row>
    <row r="127" ht="15.75" customHeight="1">
      <c r="A127" s="313"/>
      <c r="B127" s="313"/>
      <c r="C127" s="313"/>
      <c r="D127" s="313"/>
      <c r="E127" s="313"/>
      <c r="F127" s="313"/>
      <c r="G127" s="313"/>
      <c r="H127" s="313"/>
      <c r="I127" s="313"/>
      <c r="J127" s="313"/>
      <c r="K127" s="313"/>
      <c r="L127" s="313"/>
      <c r="M127" s="313"/>
      <c r="N127" s="313"/>
      <c r="O127" s="313"/>
    </row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>
      <c r="A254" s="295">
        <v>2016.0</v>
      </c>
      <c r="B254" s="296"/>
      <c r="C254" s="300">
        <v>42370.0</v>
      </c>
      <c r="D254" s="300">
        <v>42401.0</v>
      </c>
      <c r="E254" s="300">
        <v>42430.0</v>
      </c>
      <c r="F254" s="300">
        <v>42461.0</v>
      </c>
      <c r="G254" s="301">
        <v>42491.0</v>
      </c>
      <c r="H254" s="300">
        <v>42522.0</v>
      </c>
      <c r="I254" s="300">
        <v>42552.0</v>
      </c>
      <c r="J254" s="300">
        <v>42583.0</v>
      </c>
      <c r="K254" s="300">
        <v>42614.0</v>
      </c>
      <c r="L254" s="300">
        <v>42644.0</v>
      </c>
      <c r="M254" s="300">
        <v>42675.0</v>
      </c>
      <c r="N254" s="300">
        <v>42705.0</v>
      </c>
      <c r="O254" s="296"/>
    </row>
    <row r="255" ht="15.75" customHeight="1">
      <c r="A255" s="296"/>
      <c r="B255" s="296"/>
      <c r="C255" s="296"/>
      <c r="D255" s="296"/>
      <c r="E255" s="296"/>
      <c r="F255" s="296"/>
      <c r="G255" s="296"/>
      <c r="H255" s="296"/>
      <c r="I255" s="296"/>
      <c r="J255" s="296"/>
      <c r="K255" s="296"/>
      <c r="L255" s="296"/>
      <c r="M255" s="296"/>
      <c r="N255" s="296"/>
      <c r="O255" s="296"/>
    </row>
    <row r="256" ht="15.75" customHeight="1">
      <c r="A256" s="296" t="s">
        <v>689</v>
      </c>
      <c r="B256" s="296"/>
      <c r="C256" s="296">
        <v>230.0</v>
      </c>
      <c r="D256" s="296">
        <v>230.0</v>
      </c>
      <c r="E256" s="296">
        <v>155.0</v>
      </c>
      <c r="F256" s="296">
        <v>156.0</v>
      </c>
      <c r="G256" s="295">
        <v>25.0</v>
      </c>
      <c r="H256" s="296">
        <v>110.0</v>
      </c>
      <c r="I256" s="296">
        <v>155.0</v>
      </c>
      <c r="J256" s="295">
        <v>53.0</v>
      </c>
      <c r="K256" s="295">
        <v>30.0</v>
      </c>
      <c r="L256" s="296">
        <v>110.0</v>
      </c>
      <c r="M256" s="296"/>
      <c r="N256" s="296"/>
      <c r="O256" s="296"/>
    </row>
    <row r="257" ht="15.75" customHeight="1">
      <c r="A257" s="296"/>
      <c r="B257" s="296"/>
      <c r="C257" s="296"/>
      <c r="D257" s="296">
        <v>152.0</v>
      </c>
      <c r="E257" s="296"/>
      <c r="F257" s="296">
        <v>156.0</v>
      </c>
      <c r="G257" s="296">
        <v>155.0</v>
      </c>
      <c r="H257" s="295">
        <v>60.0</v>
      </c>
      <c r="I257" s="295">
        <v>80.0</v>
      </c>
      <c r="J257" s="295">
        <v>60.0</v>
      </c>
      <c r="K257" s="296"/>
      <c r="L257" s="296">
        <v>285.0</v>
      </c>
      <c r="M257" s="296"/>
      <c r="N257" s="296"/>
      <c r="O257" s="296"/>
    </row>
    <row r="258" ht="15.75" customHeight="1">
      <c r="A258" s="296"/>
      <c r="B258" s="296"/>
      <c r="C258" s="296"/>
      <c r="D258" s="296"/>
      <c r="E258" s="296"/>
      <c r="F258" s="296">
        <v>80.0</v>
      </c>
      <c r="G258" s="295">
        <v>41.0</v>
      </c>
      <c r="H258" s="296">
        <v>375.0</v>
      </c>
      <c r="I258" s="296">
        <v>170.0</v>
      </c>
      <c r="J258" s="295">
        <v>80.0</v>
      </c>
      <c r="K258" s="296"/>
      <c r="L258" s="296">
        <v>21.0</v>
      </c>
      <c r="M258" s="296"/>
      <c r="N258" s="296"/>
      <c r="O258" s="296"/>
    </row>
    <row r="259" ht="15.75" customHeight="1">
      <c r="A259" s="296"/>
      <c r="B259" s="296"/>
      <c r="C259" s="296"/>
      <c r="D259" s="296"/>
      <c r="E259" s="296"/>
      <c r="F259" s="296">
        <v>20.0</v>
      </c>
      <c r="G259" s="295">
        <v>41.0</v>
      </c>
      <c r="H259" s="296">
        <v>25.0</v>
      </c>
      <c r="I259" s="295">
        <v>80.0</v>
      </c>
      <c r="J259" s="295">
        <v>25.0</v>
      </c>
      <c r="K259" s="296"/>
      <c r="L259" s="296">
        <v>31.0</v>
      </c>
      <c r="M259" s="296"/>
      <c r="N259" s="296"/>
      <c r="O259" s="296"/>
    </row>
    <row r="260" ht="15.75" customHeight="1">
      <c r="A260" s="296"/>
      <c r="B260" s="296"/>
      <c r="C260" s="296"/>
      <c r="D260" s="296"/>
      <c r="E260" s="296"/>
      <c r="F260" s="296">
        <v>63.0</v>
      </c>
      <c r="G260" s="295">
        <v>25.0</v>
      </c>
      <c r="H260" s="296"/>
      <c r="I260" s="296">
        <v>80.0</v>
      </c>
      <c r="J260" s="295">
        <v>25.0</v>
      </c>
      <c r="K260" s="296"/>
      <c r="L260" s="296"/>
      <c r="M260" s="296"/>
      <c r="N260" s="296"/>
      <c r="O260" s="296"/>
    </row>
    <row r="261" ht="15.75" customHeight="1">
      <c r="A261" s="296"/>
      <c r="B261" s="296"/>
      <c r="C261" s="296"/>
      <c r="D261" s="296"/>
      <c r="E261" s="296"/>
      <c r="F261" s="296">
        <v>80.0</v>
      </c>
      <c r="G261" s="295">
        <v>79.0</v>
      </c>
      <c r="H261" s="296"/>
      <c r="I261" s="296"/>
      <c r="J261" s="296"/>
      <c r="K261" s="296"/>
      <c r="L261" s="296"/>
      <c r="M261" s="296"/>
      <c r="N261" s="296"/>
      <c r="O261" s="296"/>
    </row>
    <row r="262" ht="15.75" customHeight="1">
      <c r="A262" s="296" t="s">
        <v>690</v>
      </c>
      <c r="B262" s="296"/>
      <c r="C262" s="296"/>
      <c r="D262" s="296"/>
      <c r="E262" s="296"/>
      <c r="F262" s="296"/>
      <c r="G262" s="295"/>
      <c r="H262" s="296"/>
      <c r="I262" s="296"/>
      <c r="J262" s="296"/>
      <c r="K262" s="296"/>
      <c r="L262" s="296"/>
      <c r="M262" s="296">
        <v>1656.0</v>
      </c>
      <c r="N262" s="296"/>
      <c r="O262" s="296"/>
    </row>
    <row r="263" ht="15.75" customHeight="1">
      <c r="A263" s="296" t="s">
        <v>691</v>
      </c>
      <c r="B263" s="296"/>
      <c r="C263" s="296"/>
      <c r="D263" s="296"/>
      <c r="E263" s="296"/>
      <c r="F263" s="296"/>
      <c r="G263" s="295"/>
      <c r="H263" s="295">
        <v>66.0</v>
      </c>
      <c r="I263" s="296"/>
      <c r="J263" s="296"/>
      <c r="K263" s="296">
        <v>579.0</v>
      </c>
      <c r="L263" s="296">
        <v>285.0</v>
      </c>
      <c r="M263" s="296"/>
      <c r="N263" s="296"/>
      <c r="O263" s="296"/>
    </row>
    <row r="264" ht="15.75" customHeight="1">
      <c r="A264" s="296" t="s">
        <v>692</v>
      </c>
      <c r="B264" s="296"/>
      <c r="C264" s="296"/>
      <c r="D264" s="296"/>
      <c r="E264" s="296"/>
      <c r="F264" s="296"/>
      <c r="G264" s="295"/>
      <c r="H264" s="296">
        <v>5.0</v>
      </c>
      <c r="I264" s="296"/>
      <c r="J264" s="296"/>
      <c r="K264" s="296">
        <v>52.0</v>
      </c>
      <c r="L264" s="296">
        <v>80.0</v>
      </c>
      <c r="M264" s="296"/>
      <c r="N264" s="296"/>
      <c r="O264" s="296"/>
    </row>
    <row r="265" ht="15.75" customHeight="1">
      <c r="A265" s="296"/>
      <c r="B265" s="296"/>
      <c r="C265" s="296"/>
      <c r="D265" s="296"/>
      <c r="E265" s="296"/>
      <c r="F265" s="296"/>
      <c r="G265" s="295"/>
      <c r="H265" s="296"/>
      <c r="I265" s="296"/>
      <c r="J265" s="296"/>
      <c r="K265" s="296"/>
      <c r="L265" s="296"/>
      <c r="M265" s="296"/>
      <c r="N265" s="296"/>
      <c r="O265" s="296"/>
    </row>
    <row r="266" ht="15.75" customHeight="1">
      <c r="A266" s="296" t="s">
        <v>693</v>
      </c>
      <c r="B266" s="296"/>
      <c r="C266" s="296"/>
      <c r="D266" s="296"/>
      <c r="E266" s="296"/>
      <c r="F266" s="295">
        <v>500.0</v>
      </c>
      <c r="G266" s="295"/>
      <c r="H266" s="296"/>
      <c r="I266" s="296"/>
      <c r="J266" s="296"/>
      <c r="K266" s="296"/>
      <c r="L266" s="296"/>
      <c r="M266" s="296"/>
      <c r="N266" s="296"/>
      <c r="O266" s="296"/>
    </row>
    <row r="267" ht="15.75" customHeight="1">
      <c r="A267" s="296"/>
      <c r="B267" s="296"/>
      <c r="C267" s="296"/>
      <c r="D267" s="296"/>
      <c r="E267" s="296"/>
      <c r="F267" s="296"/>
      <c r="G267" s="295"/>
      <c r="H267" s="296"/>
      <c r="I267" s="296"/>
      <c r="J267" s="296"/>
      <c r="K267" s="296"/>
      <c r="L267" s="296"/>
      <c r="M267" s="296"/>
      <c r="N267" s="296"/>
      <c r="O267" s="296"/>
    </row>
    <row r="268" ht="15.75" customHeight="1">
      <c r="A268" s="296"/>
      <c r="B268" s="296"/>
      <c r="C268" s="296">
        <f t="shared" ref="C268:E268" si="10">Sum(C256:C265)</f>
        <v>230</v>
      </c>
      <c r="D268" s="296">
        <f t="shared" si="10"/>
        <v>382</v>
      </c>
      <c r="E268" s="296">
        <f t="shared" si="10"/>
        <v>155</v>
      </c>
      <c r="F268" s="296">
        <f>Sum(F256:F267)</f>
        <v>1055</v>
      </c>
      <c r="G268" s="296">
        <f t="shared" ref="G268:I268" si="11">Sum(G256:G265)</f>
        <v>366</v>
      </c>
      <c r="H268" s="296">
        <f t="shared" si="11"/>
        <v>641</v>
      </c>
      <c r="I268" s="296">
        <f t="shared" si="11"/>
        <v>565</v>
      </c>
      <c r="J268" s="296">
        <f t="shared" ref="J268:N268" si="12">Sum(J256:J267)</f>
        <v>243</v>
      </c>
      <c r="K268" s="296">
        <f t="shared" si="12"/>
        <v>661</v>
      </c>
      <c r="L268" s="296">
        <f t="shared" si="12"/>
        <v>812</v>
      </c>
      <c r="M268" s="296">
        <f t="shared" si="12"/>
        <v>1656</v>
      </c>
      <c r="N268" s="296">
        <f t="shared" si="12"/>
        <v>0</v>
      </c>
      <c r="O268" s="296"/>
    </row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11.5"/>
    <col customWidth="1" min="3" max="3" width="7.63"/>
    <col customWidth="1" min="4" max="6" width="8.0"/>
    <col customWidth="1" min="7" max="7" width="8.38"/>
    <col customWidth="1" min="8" max="8" width="7.63"/>
    <col customWidth="1" min="9" max="9" width="7.13"/>
    <col customWidth="1" min="10" max="10" width="8.25"/>
    <col customWidth="1" min="11" max="11" width="8.0"/>
    <col customWidth="1" min="12" max="12" width="7.13"/>
    <col customWidth="1" min="13" max="13" width="8.25"/>
    <col customWidth="1" min="14" max="14" width="8.0"/>
    <col customWidth="1" min="15" max="15" width="14.38"/>
    <col customWidth="1" min="16" max="26" width="15.13"/>
  </cols>
  <sheetData>
    <row r="1" ht="15.75" customHeight="1">
      <c r="A1" s="314" t="s">
        <v>694</v>
      </c>
      <c r="B1" s="315" t="s">
        <v>71</v>
      </c>
      <c r="C1" s="315" t="s">
        <v>695</v>
      </c>
      <c r="D1" s="315" t="s">
        <v>696</v>
      </c>
      <c r="E1" s="315" t="s">
        <v>697</v>
      </c>
      <c r="F1" s="315" t="s">
        <v>698</v>
      </c>
      <c r="G1" s="315" t="s">
        <v>699</v>
      </c>
      <c r="H1" s="315" t="s">
        <v>700</v>
      </c>
      <c r="I1" s="315" t="s">
        <v>701</v>
      </c>
      <c r="J1" s="315" t="s">
        <v>702</v>
      </c>
      <c r="K1" s="315" t="s">
        <v>703</v>
      </c>
      <c r="L1" s="315" t="s">
        <v>704</v>
      </c>
      <c r="M1" s="315" t="s">
        <v>705</v>
      </c>
      <c r="N1" s="315" t="s">
        <v>706</v>
      </c>
      <c r="O1" s="248" t="s">
        <v>614</v>
      </c>
    </row>
    <row r="2" ht="15.75" customHeight="1">
      <c r="A2" s="316"/>
      <c r="B2" s="250"/>
      <c r="C2" s="250"/>
      <c r="D2" s="250"/>
      <c r="E2" s="250"/>
      <c r="F2" s="250"/>
      <c r="G2" s="250"/>
      <c r="H2" s="250"/>
      <c r="I2" s="250"/>
      <c r="J2" s="250"/>
      <c r="K2" s="250"/>
      <c r="L2" s="250"/>
      <c r="M2" s="250">
        <v>5088.0</v>
      </c>
      <c r="N2" s="250">
        <v>4367.0</v>
      </c>
      <c r="O2" s="317"/>
    </row>
    <row r="3" ht="15.75" customHeight="1">
      <c r="A3" s="250" t="s">
        <v>707</v>
      </c>
      <c r="B3" s="250">
        <v>0.0</v>
      </c>
      <c r="C3" s="250">
        <v>630.0</v>
      </c>
      <c r="D3" s="250">
        <v>630.0</v>
      </c>
      <c r="E3" s="250">
        <v>630.0</v>
      </c>
      <c r="F3" s="250">
        <v>630.0</v>
      </c>
      <c r="G3" s="250">
        <v>630.0</v>
      </c>
      <c r="H3" s="250">
        <v>630.0</v>
      </c>
      <c r="I3" s="250">
        <v>630.0</v>
      </c>
      <c r="J3" s="250">
        <v>630.0</v>
      </c>
      <c r="K3" s="250">
        <v>630.0</v>
      </c>
      <c r="L3" s="250">
        <v>630.0</v>
      </c>
      <c r="M3" s="250">
        <v>630.0</v>
      </c>
      <c r="N3" s="250">
        <v>630.0</v>
      </c>
      <c r="O3" s="248">
        <v>237167.0</v>
      </c>
    </row>
    <row r="4" ht="15.75" customHeight="1">
      <c r="A4" s="250" t="s">
        <v>708</v>
      </c>
      <c r="B4" s="250">
        <v>10000.0</v>
      </c>
      <c r="C4" s="250">
        <v>324.0</v>
      </c>
      <c r="D4" s="250">
        <v>324.0</v>
      </c>
      <c r="E4" s="250">
        <v>324.0</v>
      </c>
      <c r="F4" s="250">
        <v>324.0</v>
      </c>
      <c r="G4" s="250">
        <v>324.0</v>
      </c>
      <c r="H4" s="250">
        <v>324.0</v>
      </c>
      <c r="I4" s="250">
        <v>324.0</v>
      </c>
      <c r="J4" s="250">
        <v>324.0</v>
      </c>
      <c r="K4" s="250">
        <v>324.0</v>
      </c>
      <c r="L4" s="250">
        <v>324.0</v>
      </c>
      <c r="M4" s="250">
        <v>157.0</v>
      </c>
      <c r="N4" s="250">
        <v>18.0</v>
      </c>
      <c r="O4" s="248">
        <v>14800.0</v>
      </c>
    </row>
    <row r="5" ht="15.75" customHeight="1">
      <c r="A5" s="250" t="s">
        <v>709</v>
      </c>
      <c r="B5" s="250" t="s">
        <v>223</v>
      </c>
      <c r="C5" s="250">
        <v>235.0</v>
      </c>
      <c r="D5" s="250">
        <v>235.0</v>
      </c>
      <c r="E5" s="250">
        <v>235.0</v>
      </c>
      <c r="F5" s="250">
        <v>235.0</v>
      </c>
      <c r="G5" s="250">
        <v>235.0</v>
      </c>
      <c r="H5" s="250">
        <v>235.0</v>
      </c>
      <c r="I5" s="250">
        <v>235.0</v>
      </c>
      <c r="J5" s="250">
        <v>235.0</v>
      </c>
      <c r="K5" s="250">
        <v>235.0</v>
      </c>
      <c r="L5" s="250">
        <v>235.0</v>
      </c>
      <c r="M5" s="250">
        <v>247.0</v>
      </c>
      <c r="N5" s="250">
        <v>247.0</v>
      </c>
      <c r="O5" s="248" t="s">
        <v>223</v>
      </c>
    </row>
    <row r="6" ht="15.75" customHeight="1">
      <c r="A6" s="250" t="s">
        <v>710</v>
      </c>
      <c r="B6" s="250" t="s">
        <v>223</v>
      </c>
      <c r="C6" s="250">
        <v>106.0</v>
      </c>
      <c r="D6" s="250">
        <v>106.0</v>
      </c>
      <c r="E6" s="250">
        <v>106.0</v>
      </c>
      <c r="F6" s="250">
        <v>106.0</v>
      </c>
      <c r="G6" s="250">
        <v>106.0</v>
      </c>
      <c r="H6" s="250">
        <v>106.0</v>
      </c>
      <c r="I6" s="250">
        <v>106.0</v>
      </c>
      <c r="J6" s="250">
        <v>106.0</v>
      </c>
      <c r="K6" s="250">
        <v>106.0</v>
      </c>
      <c r="L6" s="250">
        <v>106.0</v>
      </c>
      <c r="M6" s="250">
        <v>106.0</v>
      </c>
      <c r="N6" s="250">
        <v>106.0</v>
      </c>
      <c r="O6" s="248" t="s">
        <v>223</v>
      </c>
    </row>
    <row r="7" ht="15.75" customHeight="1">
      <c r="A7" s="250" t="s">
        <v>546</v>
      </c>
      <c r="B7" s="250">
        <v>18911.0</v>
      </c>
      <c r="C7" s="250">
        <v>0.0</v>
      </c>
      <c r="D7" s="250">
        <v>0.0</v>
      </c>
      <c r="E7" s="250">
        <v>0.0</v>
      </c>
      <c r="F7" s="250">
        <v>0.0</v>
      </c>
      <c r="G7" s="250">
        <v>0.0</v>
      </c>
      <c r="H7" s="250">
        <v>0.0</v>
      </c>
      <c r="I7" s="250">
        <v>0.0</v>
      </c>
      <c r="J7" s="250">
        <v>0.0</v>
      </c>
      <c r="K7" s="250">
        <v>0.0</v>
      </c>
      <c r="L7" s="250">
        <v>0.0</v>
      </c>
      <c r="M7" s="250">
        <v>0.0</v>
      </c>
      <c r="N7" s="250">
        <v>0.0</v>
      </c>
      <c r="O7" s="248">
        <v>20923.0</v>
      </c>
    </row>
    <row r="8" ht="15.75" customHeight="1">
      <c r="A8" s="250" t="s">
        <v>711</v>
      </c>
      <c r="B8" s="250">
        <v>0.0</v>
      </c>
      <c r="C8" s="250">
        <v>0.0</v>
      </c>
      <c r="D8" s="250">
        <v>0.0</v>
      </c>
      <c r="E8" s="250">
        <v>57.0</v>
      </c>
      <c r="F8" s="250">
        <v>260.0</v>
      </c>
      <c r="G8" s="250">
        <v>2254.0</v>
      </c>
      <c r="H8" s="250">
        <v>0.0</v>
      </c>
      <c r="I8" s="250">
        <v>0.0</v>
      </c>
      <c r="J8" s="250">
        <v>0.0</v>
      </c>
      <c r="K8" s="250">
        <v>0.0</v>
      </c>
      <c r="L8" s="250">
        <v>0.0</v>
      </c>
      <c r="M8" s="250">
        <v>0.0</v>
      </c>
      <c r="N8" s="250">
        <v>0.0</v>
      </c>
      <c r="O8" s="248">
        <v>0.0</v>
      </c>
    </row>
    <row r="9" ht="15.75" customHeight="1">
      <c r="A9" s="250" t="s">
        <v>661</v>
      </c>
      <c r="B9" s="250">
        <v>0.0</v>
      </c>
      <c r="C9" s="250">
        <v>0.0</v>
      </c>
      <c r="D9" s="250">
        <v>0.0</v>
      </c>
      <c r="E9" s="250">
        <v>0.0</v>
      </c>
      <c r="F9" s="250">
        <v>0.0</v>
      </c>
      <c r="G9" s="250">
        <v>0.0</v>
      </c>
      <c r="H9" s="250">
        <v>0.0</v>
      </c>
      <c r="I9" s="250">
        <v>225.0</v>
      </c>
      <c r="J9" s="250">
        <v>0.0</v>
      </c>
      <c r="K9" s="250">
        <v>185.0</v>
      </c>
      <c r="L9" s="250">
        <v>124.0</v>
      </c>
      <c r="M9" s="250">
        <v>149.0</v>
      </c>
      <c r="N9" s="250">
        <v>149.0</v>
      </c>
      <c r="O9" s="248"/>
    </row>
    <row r="10" ht="15.75" customHeight="1">
      <c r="A10" s="250" t="s">
        <v>712</v>
      </c>
      <c r="B10" s="250">
        <v>6945.0</v>
      </c>
      <c r="C10" s="250">
        <v>650.0</v>
      </c>
      <c r="D10" s="250">
        <v>50.0</v>
      </c>
      <c r="E10" s="250">
        <v>56.0</v>
      </c>
      <c r="F10" s="250">
        <v>160.0</v>
      </c>
      <c r="G10" s="250">
        <v>100.0</v>
      </c>
      <c r="H10" s="250">
        <v>113.0</v>
      </c>
      <c r="I10" s="250">
        <v>500.0</v>
      </c>
      <c r="J10" s="250">
        <v>535.0</v>
      </c>
      <c r="K10" s="250">
        <v>250.0</v>
      </c>
      <c r="L10" s="250">
        <v>1500.0</v>
      </c>
      <c r="M10" s="250">
        <v>250.0</v>
      </c>
      <c r="N10" s="250">
        <v>0.0</v>
      </c>
      <c r="O10" s="248">
        <v>300.0</v>
      </c>
    </row>
    <row r="11" ht="15.75" customHeight="1">
      <c r="A11" s="250" t="s">
        <v>713</v>
      </c>
      <c r="B11" s="250">
        <v>4511.0</v>
      </c>
      <c r="C11" s="250">
        <v>35.0</v>
      </c>
      <c r="D11" s="250">
        <v>50.0</v>
      </c>
      <c r="E11" s="250">
        <v>138.0</v>
      </c>
      <c r="F11" s="250">
        <v>803.0</v>
      </c>
      <c r="G11" s="250">
        <v>100.0</v>
      </c>
      <c r="H11" s="250">
        <v>1264.0</v>
      </c>
      <c r="I11" s="250">
        <v>35.0</v>
      </c>
      <c r="J11" s="250">
        <v>178.0</v>
      </c>
      <c r="K11" s="250">
        <v>50.0</v>
      </c>
      <c r="L11" s="250">
        <v>162.0</v>
      </c>
      <c r="M11" s="250">
        <v>2000.0</v>
      </c>
      <c r="N11" s="250">
        <v>0.0</v>
      </c>
      <c r="O11" s="248">
        <v>3030.0</v>
      </c>
    </row>
    <row r="12" ht="15.75" customHeight="1">
      <c r="A12" s="250" t="s">
        <v>714</v>
      </c>
      <c r="B12" s="250">
        <v>0.0</v>
      </c>
      <c r="C12" s="250">
        <v>0.0</v>
      </c>
      <c r="D12" s="250">
        <v>0.0</v>
      </c>
      <c r="E12" s="250">
        <v>0.0</v>
      </c>
      <c r="F12" s="250">
        <v>160.0</v>
      </c>
      <c r="G12" s="250">
        <v>1500.0</v>
      </c>
      <c r="H12" s="250">
        <v>0.0</v>
      </c>
      <c r="I12" s="250">
        <v>0.0</v>
      </c>
      <c r="J12" s="250">
        <v>0.0</v>
      </c>
      <c r="K12" s="250">
        <v>0.0</v>
      </c>
      <c r="L12" s="250">
        <v>0.0</v>
      </c>
      <c r="M12" s="250">
        <v>0.0</v>
      </c>
      <c r="N12" s="250">
        <v>0.0</v>
      </c>
      <c r="O12" s="248">
        <v>0.0</v>
      </c>
    </row>
    <row r="13" ht="15.75" customHeight="1">
      <c r="A13" s="250" t="s">
        <v>652</v>
      </c>
      <c r="B13" s="250">
        <v>15300.0</v>
      </c>
      <c r="C13" s="250">
        <v>0.0</v>
      </c>
      <c r="D13" s="250">
        <v>0.0</v>
      </c>
      <c r="E13" s="250">
        <v>0.0</v>
      </c>
      <c r="F13" s="250">
        <v>0.0</v>
      </c>
      <c r="G13" s="250">
        <v>0.0</v>
      </c>
      <c r="H13" s="250">
        <v>0.0</v>
      </c>
      <c r="I13" s="250">
        <v>0.0</v>
      </c>
      <c r="J13" s="250">
        <v>0.0</v>
      </c>
      <c r="K13" s="250">
        <v>0.0</v>
      </c>
      <c r="L13" s="250">
        <v>0.0</v>
      </c>
      <c r="M13" s="250">
        <v>0.0</v>
      </c>
      <c r="N13" s="250">
        <v>0.0</v>
      </c>
      <c r="O13" s="248">
        <v>0.0</v>
      </c>
    </row>
    <row r="14" ht="15.75" customHeight="1">
      <c r="A14" s="250" t="s">
        <v>715</v>
      </c>
      <c r="B14" s="250">
        <v>0.0</v>
      </c>
      <c r="C14" s="250">
        <v>350.0</v>
      </c>
      <c r="D14" s="250">
        <v>350.0</v>
      </c>
      <c r="E14" s="250">
        <v>350.0</v>
      </c>
      <c r="F14" s="250">
        <v>400.0</v>
      </c>
      <c r="G14" s="250">
        <v>350.0</v>
      </c>
      <c r="H14" s="250">
        <v>350.0</v>
      </c>
      <c r="I14" s="250">
        <v>350.0</v>
      </c>
      <c r="J14" s="250">
        <v>350.0</v>
      </c>
      <c r="K14" s="250">
        <v>300.0</v>
      </c>
      <c r="L14" s="250">
        <v>300.0</v>
      </c>
      <c r="M14" s="250">
        <v>350.0</v>
      </c>
      <c r="N14" s="250">
        <v>2100.0</v>
      </c>
      <c r="O14" s="248">
        <v>22650.0</v>
      </c>
    </row>
    <row r="15" ht="15.75" customHeight="1">
      <c r="A15" s="250" t="s">
        <v>716</v>
      </c>
      <c r="B15" s="250" t="s">
        <v>223</v>
      </c>
      <c r="C15" s="250">
        <v>100.0</v>
      </c>
      <c r="D15" s="250">
        <v>100.0</v>
      </c>
      <c r="E15" s="250">
        <v>205.0</v>
      </c>
      <c r="F15" s="250">
        <v>130.0</v>
      </c>
      <c r="G15" s="250">
        <v>130.0</v>
      </c>
      <c r="H15" s="250">
        <v>130.0</v>
      </c>
      <c r="I15" s="250">
        <v>130.0</v>
      </c>
      <c r="J15" s="250">
        <v>130.0</v>
      </c>
      <c r="K15" s="250">
        <v>130.0</v>
      </c>
      <c r="L15" s="250">
        <v>130.0</v>
      </c>
      <c r="M15" s="250">
        <v>130.0</v>
      </c>
      <c r="N15" s="250">
        <v>130.0</v>
      </c>
      <c r="O15" s="248" t="s">
        <v>223</v>
      </c>
    </row>
    <row r="16" ht="15.75" customHeight="1">
      <c r="A16" s="250" t="s">
        <v>717</v>
      </c>
      <c r="B16" s="250" t="s">
        <v>223</v>
      </c>
      <c r="C16" s="250"/>
      <c r="D16" s="250"/>
      <c r="E16" s="250"/>
      <c r="F16" s="250">
        <v>368.0</v>
      </c>
      <c r="G16" s="250">
        <v>319.0</v>
      </c>
      <c r="H16" s="250">
        <v>369.0</v>
      </c>
      <c r="I16" s="250">
        <v>273.0</v>
      </c>
      <c r="J16" s="250">
        <v>273.0</v>
      </c>
      <c r="K16" s="250">
        <v>273.0</v>
      </c>
      <c r="L16" s="250">
        <v>369.0</v>
      </c>
      <c r="M16" s="250">
        <v>360.0</v>
      </c>
      <c r="N16" s="250">
        <v>393.0</v>
      </c>
      <c r="O16" s="248" t="s">
        <v>223</v>
      </c>
    </row>
    <row r="17" ht="15.75" customHeight="1">
      <c r="A17" s="250" t="s">
        <v>718</v>
      </c>
      <c r="B17" s="250" t="s">
        <v>223</v>
      </c>
      <c r="C17" s="318"/>
      <c r="D17" s="250"/>
      <c r="E17" s="318"/>
      <c r="F17" s="250">
        <v>200.0</v>
      </c>
      <c r="G17" s="250">
        <v>149.0</v>
      </c>
      <c r="H17" s="250">
        <v>349.0</v>
      </c>
      <c r="I17" s="250">
        <v>399.0</v>
      </c>
      <c r="J17" s="250">
        <v>349.0</v>
      </c>
      <c r="K17" s="250">
        <v>349.0</v>
      </c>
      <c r="L17" s="250">
        <v>200.0</v>
      </c>
      <c r="M17" s="250">
        <v>0.0</v>
      </c>
      <c r="N17" s="250">
        <v>100.0</v>
      </c>
      <c r="O17" s="248" t="s">
        <v>223</v>
      </c>
    </row>
    <row r="18" ht="15.75" customHeight="1">
      <c r="A18" s="250" t="s">
        <v>719</v>
      </c>
      <c r="B18" s="250" t="s">
        <v>223</v>
      </c>
      <c r="C18" s="318"/>
      <c r="D18" s="250"/>
      <c r="E18" s="318"/>
      <c r="F18" s="250">
        <v>337.0</v>
      </c>
      <c r="G18" s="250">
        <v>74.0</v>
      </c>
      <c r="H18" s="250">
        <v>74.0</v>
      </c>
      <c r="I18" s="318">
        <v>74.0</v>
      </c>
      <c r="J18" s="250">
        <v>74.0</v>
      </c>
      <c r="K18" s="250">
        <v>964.0</v>
      </c>
      <c r="L18" s="250">
        <v>224.0</v>
      </c>
      <c r="M18" s="250">
        <v>74.0</v>
      </c>
      <c r="N18" s="250">
        <v>74.0</v>
      </c>
      <c r="O18" s="248" t="s">
        <v>223</v>
      </c>
    </row>
    <row r="19" ht="15.75" customHeight="1">
      <c r="A19" s="250"/>
      <c r="B19" s="250"/>
      <c r="C19" s="318"/>
      <c r="D19" s="250"/>
      <c r="E19" s="318"/>
      <c r="F19" s="318"/>
      <c r="G19" s="318"/>
      <c r="H19" s="318"/>
      <c r="I19" s="318"/>
      <c r="J19" s="318"/>
      <c r="K19" s="318"/>
      <c r="L19" s="318"/>
      <c r="M19" s="318"/>
      <c r="N19" s="318"/>
      <c r="O19" s="248"/>
    </row>
    <row r="20" ht="15.75" customHeight="1">
      <c r="A20" s="250" t="s">
        <v>33</v>
      </c>
      <c r="B20" s="250">
        <f t="shared" ref="B20:E20" si="1">Sum(B3:B15)</f>
        <v>55667</v>
      </c>
      <c r="C20" s="250">
        <f t="shared" si="1"/>
        <v>2430</v>
      </c>
      <c r="D20" s="250">
        <f t="shared" si="1"/>
        <v>1845</v>
      </c>
      <c r="E20" s="250">
        <f t="shared" si="1"/>
        <v>2101</v>
      </c>
      <c r="F20" s="250">
        <f>Sum(F3:F18)</f>
        <v>4113</v>
      </c>
      <c r="G20" s="250"/>
      <c r="H20" s="250">
        <f t="shared" ref="H20:N20" si="2">Sum(H3:H18)</f>
        <v>3944</v>
      </c>
      <c r="I20" s="250">
        <f t="shared" si="2"/>
        <v>3281</v>
      </c>
      <c r="J20" s="250">
        <f t="shared" si="2"/>
        <v>3184</v>
      </c>
      <c r="K20" s="250">
        <f t="shared" si="2"/>
        <v>3796</v>
      </c>
      <c r="L20" s="250">
        <f t="shared" si="2"/>
        <v>4304</v>
      </c>
      <c r="M20" s="250">
        <f t="shared" si="2"/>
        <v>4453</v>
      </c>
      <c r="N20" s="250">
        <f t="shared" si="2"/>
        <v>3947</v>
      </c>
      <c r="O20" s="248">
        <f>Sum(O3:O15)</f>
        <v>298870</v>
      </c>
    </row>
    <row r="21" ht="15.75" customHeight="1">
      <c r="A21" s="184" t="s">
        <v>720</v>
      </c>
      <c r="B21" s="265"/>
      <c r="C21" s="265">
        <v>3192.0</v>
      </c>
      <c r="D21" s="265"/>
      <c r="E21" s="265">
        <v>2939.0</v>
      </c>
      <c r="F21" s="265"/>
      <c r="G21" s="265"/>
      <c r="H21" s="265"/>
      <c r="I21" s="265"/>
      <c r="J21" s="265"/>
      <c r="K21" s="265"/>
      <c r="L21" s="167">
        <v>4100.0</v>
      </c>
      <c r="M21" s="167">
        <v>4588.0</v>
      </c>
      <c r="N21" s="265">
        <v>4308.0</v>
      </c>
      <c r="O21" s="37"/>
    </row>
    <row r="22" ht="15.75" customHeight="1">
      <c r="A22" s="319" t="s">
        <v>707</v>
      </c>
      <c r="B22" s="319">
        <v>0.0</v>
      </c>
      <c r="C22" s="319">
        <v>630.0</v>
      </c>
      <c r="D22" s="319">
        <v>630.0</v>
      </c>
      <c r="E22" s="319">
        <v>630.0</v>
      </c>
      <c r="F22" s="319">
        <v>630.0</v>
      </c>
      <c r="G22" s="319">
        <v>630.0</v>
      </c>
      <c r="H22" s="319">
        <v>630.0</v>
      </c>
      <c r="I22" s="319">
        <v>630.0</v>
      </c>
      <c r="J22" s="319">
        <v>630.0</v>
      </c>
      <c r="K22" s="319">
        <v>630.0</v>
      </c>
      <c r="L22" s="319">
        <v>630.0</v>
      </c>
      <c r="M22" s="319">
        <v>630.0</v>
      </c>
      <c r="N22" s="319">
        <v>630.0</v>
      </c>
      <c r="O22" s="223" t="s">
        <v>223</v>
      </c>
    </row>
    <row r="23" ht="15.75" customHeight="1">
      <c r="A23" s="319" t="s">
        <v>708</v>
      </c>
      <c r="B23" s="319">
        <f>B4</f>
        <v>10000</v>
      </c>
      <c r="C23" s="319">
        <v>0.0</v>
      </c>
      <c r="D23" s="319">
        <v>0.0</v>
      </c>
      <c r="E23" s="319">
        <v>0.0</v>
      </c>
      <c r="F23" s="319">
        <v>0.0</v>
      </c>
      <c r="G23" s="319">
        <v>0.0</v>
      </c>
      <c r="H23" s="319">
        <v>0.0</v>
      </c>
      <c r="I23" s="319">
        <v>0.0</v>
      </c>
      <c r="J23" s="319">
        <v>0.0</v>
      </c>
      <c r="K23" s="319">
        <v>0.0</v>
      </c>
      <c r="L23" s="319">
        <v>0.0</v>
      </c>
      <c r="M23" s="319">
        <v>0.0</v>
      </c>
      <c r="N23" s="319">
        <v>12.0</v>
      </c>
      <c r="O23" s="223">
        <v>0.0</v>
      </c>
    </row>
    <row r="24" ht="15.75" customHeight="1">
      <c r="A24" s="319" t="s">
        <v>721</v>
      </c>
      <c r="B24" s="319" t="s">
        <v>223</v>
      </c>
      <c r="C24" s="319">
        <v>158.0</v>
      </c>
      <c r="D24" s="319">
        <v>129.0</v>
      </c>
      <c r="E24" s="319">
        <v>132.0</v>
      </c>
      <c r="F24" s="319">
        <v>111.0</v>
      </c>
      <c r="G24" s="319">
        <v>118.0</v>
      </c>
      <c r="H24" s="319">
        <v>112.0</v>
      </c>
      <c r="I24" s="319">
        <v>128.0</v>
      </c>
      <c r="J24" s="319">
        <v>158.0</v>
      </c>
      <c r="K24" s="319">
        <v>132.0</v>
      </c>
      <c r="L24" s="319">
        <v>135.0</v>
      </c>
      <c r="M24" s="319">
        <v>107.0</v>
      </c>
      <c r="N24" s="319">
        <v>153.0</v>
      </c>
      <c r="O24" s="223"/>
    </row>
    <row r="25" ht="15.75" customHeight="1">
      <c r="A25" s="319" t="s">
        <v>722</v>
      </c>
      <c r="B25" s="319" t="s">
        <v>223</v>
      </c>
      <c r="C25" s="319">
        <v>59.0</v>
      </c>
      <c r="D25" s="319">
        <v>59.0</v>
      </c>
      <c r="E25" s="319">
        <v>60.0</v>
      </c>
      <c r="F25" s="319">
        <v>59.0</v>
      </c>
      <c r="G25" s="319">
        <v>59.0</v>
      </c>
      <c r="H25" s="319">
        <v>59.0</v>
      </c>
      <c r="I25" s="319">
        <v>68.0</v>
      </c>
      <c r="J25" s="319">
        <v>68.0</v>
      </c>
      <c r="K25" s="319">
        <v>68.0</v>
      </c>
      <c r="L25" s="319">
        <v>68.0</v>
      </c>
      <c r="M25" s="319">
        <v>68.0</v>
      </c>
      <c r="N25" s="319">
        <v>31.0</v>
      </c>
      <c r="O25" s="223"/>
    </row>
    <row r="26" ht="15.75" customHeight="1">
      <c r="A26" s="319" t="s">
        <v>546</v>
      </c>
      <c r="B26" s="319">
        <f t="shared" ref="B26:B27" si="3">B7</f>
        <v>18911</v>
      </c>
      <c r="C26" s="319">
        <v>201.0</v>
      </c>
      <c r="D26" s="319">
        <v>201.0</v>
      </c>
      <c r="E26" s="319">
        <v>201.0</v>
      </c>
      <c r="F26" s="319">
        <v>201.0</v>
      </c>
      <c r="G26" s="319">
        <v>201.0</v>
      </c>
      <c r="H26" s="319">
        <v>201.0</v>
      </c>
      <c r="I26" s="319">
        <v>201.0</v>
      </c>
      <c r="J26" s="319">
        <v>201.0</v>
      </c>
      <c r="K26" s="319">
        <v>201.0</v>
      </c>
      <c r="L26" s="319">
        <v>201.0</v>
      </c>
      <c r="M26" s="319">
        <v>201.0</v>
      </c>
      <c r="N26" s="319">
        <v>201.0</v>
      </c>
      <c r="O26" s="223"/>
    </row>
    <row r="27" ht="15.75" customHeight="1">
      <c r="A27" s="319" t="s">
        <v>711</v>
      </c>
      <c r="B27" s="319">
        <f t="shared" si="3"/>
        <v>0</v>
      </c>
      <c r="C27" s="319">
        <v>0.0</v>
      </c>
      <c r="D27" s="319">
        <v>0.0</v>
      </c>
      <c r="E27" s="319">
        <v>159.0</v>
      </c>
      <c r="F27" s="319">
        <v>513.0</v>
      </c>
      <c r="G27" s="319">
        <v>1502.0</v>
      </c>
      <c r="H27" s="319">
        <v>0.0</v>
      </c>
      <c r="I27" s="319">
        <v>0.0</v>
      </c>
      <c r="J27" s="319">
        <v>0.0</v>
      </c>
      <c r="K27" s="319">
        <v>0.0</v>
      </c>
      <c r="L27" s="319">
        <v>0.0</v>
      </c>
      <c r="M27" s="319">
        <v>0.0</v>
      </c>
      <c r="N27" s="319">
        <v>0.0</v>
      </c>
      <c r="O27" s="223"/>
    </row>
    <row r="28" ht="15.75" customHeight="1">
      <c r="A28" s="319" t="s">
        <v>661</v>
      </c>
      <c r="B28" s="319">
        <v>0.0</v>
      </c>
      <c r="C28" s="319">
        <v>0.0</v>
      </c>
      <c r="D28" s="319">
        <v>0.0</v>
      </c>
      <c r="E28" s="319">
        <v>0.0</v>
      </c>
      <c r="F28" s="319">
        <v>0.0</v>
      </c>
      <c r="G28" s="319">
        <v>0.0</v>
      </c>
      <c r="H28" s="319">
        <v>0.0</v>
      </c>
      <c r="I28" s="319">
        <v>0.0</v>
      </c>
      <c r="J28" s="319">
        <v>0.0</v>
      </c>
      <c r="K28" s="319">
        <v>145.0</v>
      </c>
      <c r="L28" s="319">
        <v>145.0</v>
      </c>
      <c r="M28" s="319">
        <v>145.0</v>
      </c>
      <c r="N28" s="319">
        <v>158.0</v>
      </c>
      <c r="O28" s="223"/>
    </row>
    <row r="29" ht="15.75" customHeight="1">
      <c r="A29" s="319" t="s">
        <v>712</v>
      </c>
      <c r="B29" s="319">
        <f t="shared" ref="B29:B30" si="4">B10</f>
        <v>6945</v>
      </c>
      <c r="C29" s="319">
        <v>750.0</v>
      </c>
      <c r="D29" s="319">
        <v>0.0</v>
      </c>
      <c r="E29" s="319">
        <v>250.0</v>
      </c>
      <c r="F29" s="319">
        <v>0.0</v>
      </c>
      <c r="G29" s="319">
        <v>0.0</v>
      </c>
      <c r="H29" s="319">
        <v>0.0</v>
      </c>
      <c r="I29" s="319">
        <v>0.0</v>
      </c>
      <c r="J29" s="319">
        <v>2000.0</v>
      </c>
      <c r="K29" s="319">
        <v>2000.0</v>
      </c>
      <c r="L29" s="319">
        <v>2000.0</v>
      </c>
      <c r="M29" s="319">
        <v>0.0</v>
      </c>
      <c r="N29" s="319">
        <v>120.0</v>
      </c>
      <c r="O29" s="223">
        <v>0.0</v>
      </c>
    </row>
    <row r="30" ht="15.75" customHeight="1">
      <c r="A30" s="319" t="s">
        <v>713</v>
      </c>
      <c r="B30" s="319">
        <f t="shared" si="4"/>
        <v>4511</v>
      </c>
      <c r="C30" s="319">
        <v>0.0</v>
      </c>
      <c r="D30" s="319">
        <v>0.0</v>
      </c>
      <c r="E30" s="319">
        <v>380.0</v>
      </c>
      <c r="F30" s="319">
        <v>0.0</v>
      </c>
      <c r="G30" s="319">
        <v>0.0</v>
      </c>
      <c r="H30" s="319">
        <v>2500.0</v>
      </c>
      <c r="I30" s="319">
        <v>0.0</v>
      </c>
      <c r="J30" s="319">
        <v>0.0</v>
      </c>
      <c r="K30" s="319">
        <v>0.0</v>
      </c>
      <c r="L30" s="319">
        <v>530.0</v>
      </c>
      <c r="M30" s="319">
        <v>800.0</v>
      </c>
      <c r="N30" s="319">
        <v>85.0</v>
      </c>
      <c r="O30" s="223">
        <v>0.0</v>
      </c>
    </row>
    <row r="31" ht="15.75" customHeight="1">
      <c r="A31" s="319" t="s">
        <v>723</v>
      </c>
      <c r="B31" s="319">
        <v>0.0</v>
      </c>
      <c r="C31" s="319">
        <v>0.0</v>
      </c>
      <c r="D31" s="319">
        <v>0.0</v>
      </c>
      <c r="E31" s="319">
        <v>132.0</v>
      </c>
      <c r="F31" s="319">
        <v>71.0</v>
      </c>
      <c r="G31" s="319">
        <v>0.0</v>
      </c>
      <c r="H31" s="319">
        <v>0.0</v>
      </c>
      <c r="I31" s="319">
        <v>0.0</v>
      </c>
      <c r="J31" s="319">
        <v>0.0</v>
      </c>
      <c r="K31" s="319">
        <v>0.0</v>
      </c>
      <c r="L31" s="319">
        <v>0.0</v>
      </c>
      <c r="M31" s="319">
        <v>1500.0</v>
      </c>
      <c r="N31" s="319">
        <v>0.0</v>
      </c>
      <c r="O31" s="223"/>
    </row>
    <row r="32" ht="15.75" customHeight="1">
      <c r="A32" s="319" t="s">
        <v>652</v>
      </c>
      <c r="B32" s="319">
        <f t="shared" ref="B32:B33" si="5">B13</f>
        <v>15300</v>
      </c>
      <c r="C32" s="319">
        <v>0.0</v>
      </c>
      <c r="D32" s="319">
        <v>0.0</v>
      </c>
      <c r="E32" s="319">
        <v>0.0</v>
      </c>
      <c r="F32" s="319">
        <v>0.0</v>
      </c>
      <c r="G32" s="319">
        <v>0.0</v>
      </c>
      <c r="H32" s="319">
        <v>0.0</v>
      </c>
      <c r="I32" s="319">
        <v>0.0</v>
      </c>
      <c r="J32" s="319">
        <v>0.0</v>
      </c>
      <c r="K32" s="319">
        <v>0.0</v>
      </c>
      <c r="L32" s="319">
        <v>0.0</v>
      </c>
      <c r="M32" s="319">
        <v>0.0</v>
      </c>
      <c r="N32" s="319">
        <v>0.0</v>
      </c>
      <c r="O32" s="223">
        <v>0.0</v>
      </c>
    </row>
    <row r="33" ht="15.75" customHeight="1">
      <c r="A33" s="319" t="s">
        <v>715</v>
      </c>
      <c r="B33" s="319">
        <f t="shared" si="5"/>
        <v>0</v>
      </c>
      <c r="C33" s="319">
        <v>0.0</v>
      </c>
      <c r="D33" s="319">
        <v>0.0</v>
      </c>
      <c r="E33" s="319">
        <v>0.0</v>
      </c>
      <c r="F33" s="319">
        <v>0.0</v>
      </c>
      <c r="G33" s="319">
        <v>0.0</v>
      </c>
      <c r="H33" s="319">
        <v>0.0</v>
      </c>
      <c r="I33" s="319">
        <v>0.0</v>
      </c>
      <c r="J33" s="319">
        <v>0.0</v>
      </c>
      <c r="K33" s="319">
        <v>0.0</v>
      </c>
      <c r="L33" s="319">
        <v>0.0</v>
      </c>
      <c r="M33" s="319">
        <v>0.0</v>
      </c>
      <c r="N33" s="319">
        <v>1750.0</v>
      </c>
      <c r="O33" s="223"/>
    </row>
    <row r="34" ht="15.75" customHeight="1">
      <c r="A34" s="319" t="s">
        <v>716</v>
      </c>
      <c r="B34" s="319" t="s">
        <v>223</v>
      </c>
      <c r="C34" s="319">
        <v>175.0</v>
      </c>
      <c r="D34" s="319">
        <v>175.0</v>
      </c>
      <c r="E34" s="319">
        <v>266.0</v>
      </c>
      <c r="F34" s="319">
        <v>100.0</v>
      </c>
      <c r="G34" s="319">
        <v>130.0</v>
      </c>
      <c r="H34" s="319">
        <v>130.0</v>
      </c>
      <c r="I34" s="319">
        <v>130.0</v>
      </c>
      <c r="J34" s="319">
        <v>130.0</v>
      </c>
      <c r="K34" s="319">
        <v>130.0</v>
      </c>
      <c r="L34" s="319">
        <v>130.0</v>
      </c>
      <c r="M34" s="319">
        <v>130.0</v>
      </c>
      <c r="N34" s="319">
        <v>112.0</v>
      </c>
      <c r="O34" s="223" t="s">
        <v>223</v>
      </c>
    </row>
    <row r="35" ht="15.75" customHeight="1">
      <c r="A35" s="319" t="s">
        <v>717</v>
      </c>
      <c r="B35" s="319" t="s">
        <v>223</v>
      </c>
      <c r="C35" s="319"/>
      <c r="D35" s="319"/>
      <c r="E35" s="319"/>
      <c r="F35" s="319">
        <v>273.0</v>
      </c>
      <c r="G35" s="319">
        <v>273.0</v>
      </c>
      <c r="H35" s="319">
        <v>273.0</v>
      </c>
      <c r="I35" s="319">
        <v>369.0</v>
      </c>
      <c r="J35" s="319">
        <v>369.0</v>
      </c>
      <c r="K35" s="319">
        <v>323.0</v>
      </c>
      <c r="L35" s="319">
        <v>323.0</v>
      </c>
      <c r="M35" s="319">
        <v>365.0</v>
      </c>
      <c r="N35" s="319">
        <v>410.0</v>
      </c>
      <c r="O35" s="223" t="str">
        <f t="shared" ref="O35:O37" si="6">O16</f>
        <v>n/a</v>
      </c>
    </row>
    <row r="36" ht="15.75" customHeight="1">
      <c r="A36" s="319" t="s">
        <v>718</v>
      </c>
      <c r="B36" s="319" t="s">
        <v>223</v>
      </c>
      <c r="C36" s="319"/>
      <c r="D36" s="319"/>
      <c r="E36" s="319"/>
      <c r="F36" s="319">
        <v>110.0</v>
      </c>
      <c r="G36" s="319">
        <v>145.0</v>
      </c>
      <c r="H36" s="319">
        <v>145.0</v>
      </c>
      <c r="I36" s="319">
        <v>145.0</v>
      </c>
      <c r="J36" s="319">
        <v>145.0</v>
      </c>
      <c r="K36" s="319">
        <v>50.0</v>
      </c>
      <c r="L36" s="319">
        <v>0.0</v>
      </c>
      <c r="M36" s="319">
        <v>280.0</v>
      </c>
      <c r="N36" s="319">
        <v>250.0</v>
      </c>
      <c r="O36" s="223" t="str">
        <f t="shared" si="6"/>
        <v>n/a</v>
      </c>
    </row>
    <row r="37" ht="15.75" customHeight="1">
      <c r="A37" s="319" t="s">
        <v>719</v>
      </c>
      <c r="B37" s="319" t="s">
        <v>223</v>
      </c>
      <c r="C37" s="319"/>
      <c r="D37" s="319"/>
      <c r="E37" s="319"/>
      <c r="F37" s="319">
        <v>25.0</v>
      </c>
      <c r="G37" s="319">
        <v>869.0</v>
      </c>
      <c r="H37" s="319">
        <v>0.0</v>
      </c>
      <c r="I37" s="319">
        <v>2000.0</v>
      </c>
      <c r="J37" s="319">
        <v>101.0</v>
      </c>
      <c r="K37" s="319">
        <v>120.0</v>
      </c>
      <c r="L37" s="319">
        <v>35.0</v>
      </c>
      <c r="M37" s="319">
        <v>70.0</v>
      </c>
      <c r="N37" s="319">
        <v>300.0</v>
      </c>
      <c r="O37" s="223" t="str">
        <f t="shared" si="6"/>
        <v>n/a</v>
      </c>
    </row>
    <row r="38" ht="15.75" customHeight="1">
      <c r="A38" s="319"/>
      <c r="B38" s="319"/>
      <c r="C38" s="320"/>
      <c r="D38" s="319"/>
      <c r="E38" s="320"/>
      <c r="F38" s="320"/>
      <c r="G38" s="320"/>
      <c r="H38" s="320"/>
      <c r="I38" s="320"/>
      <c r="J38" s="320"/>
      <c r="K38" s="320"/>
      <c r="L38" s="320"/>
      <c r="M38" s="320"/>
      <c r="N38" s="320"/>
      <c r="O38" s="223"/>
    </row>
    <row r="39" ht="15.75" customHeight="1">
      <c r="A39" s="319" t="s">
        <v>33</v>
      </c>
      <c r="B39" s="319">
        <f t="shared" ref="B39:E39" si="7">Sum(B22:B34)</f>
        <v>55667</v>
      </c>
      <c r="C39" s="319">
        <f t="shared" si="7"/>
        <v>1973</v>
      </c>
      <c r="D39" s="319">
        <f t="shared" si="7"/>
        <v>1194</v>
      </c>
      <c r="E39" s="319">
        <f t="shared" si="7"/>
        <v>2210</v>
      </c>
      <c r="F39" s="320"/>
      <c r="G39" s="319">
        <f t="shared" ref="G39:N39" si="8">Sum(G22:G37)</f>
        <v>3927</v>
      </c>
      <c r="H39" s="319">
        <f t="shared" si="8"/>
        <v>4050</v>
      </c>
      <c r="I39" s="319">
        <f t="shared" si="8"/>
        <v>3671</v>
      </c>
      <c r="J39" s="319">
        <f t="shared" si="8"/>
        <v>3802</v>
      </c>
      <c r="K39" s="319">
        <f t="shared" si="8"/>
        <v>3799</v>
      </c>
      <c r="L39" s="319">
        <f t="shared" si="8"/>
        <v>4197</v>
      </c>
      <c r="M39" s="319">
        <f t="shared" si="8"/>
        <v>4296</v>
      </c>
      <c r="N39" s="319">
        <f t="shared" si="8"/>
        <v>4212</v>
      </c>
      <c r="O39" s="223">
        <v>0.0</v>
      </c>
    </row>
    <row r="40" ht="15.75" customHeight="1"/>
    <row r="41" ht="15.75" customHeight="1">
      <c r="A41" s="248" t="s">
        <v>646</v>
      </c>
      <c r="B41" s="317"/>
      <c r="C41" s="317"/>
      <c r="D41" s="317"/>
      <c r="E41" s="317"/>
      <c r="F41" s="317"/>
      <c r="G41" s="317"/>
      <c r="H41" s="317"/>
      <c r="I41" s="317"/>
      <c r="J41" s="317"/>
      <c r="K41" s="317"/>
      <c r="L41" s="317"/>
      <c r="M41" s="317"/>
      <c r="N41" s="317"/>
      <c r="O41" s="317"/>
    </row>
    <row r="42" ht="15.75" customHeight="1"/>
    <row r="43" ht="15.75" customHeight="1"/>
    <row r="44" ht="15.75" customHeight="1">
      <c r="A44" s="223" t="s">
        <v>724</v>
      </c>
      <c r="B44" s="223" t="s">
        <v>35</v>
      </c>
      <c r="C44" s="223" t="s">
        <v>0</v>
      </c>
      <c r="D44" s="223" t="s">
        <v>1</v>
      </c>
      <c r="E44" s="223" t="s">
        <v>2</v>
      </c>
      <c r="F44" s="223" t="s">
        <v>3</v>
      </c>
      <c r="G44" s="223" t="s">
        <v>4</v>
      </c>
      <c r="H44" s="223" t="s">
        <v>5</v>
      </c>
      <c r="I44" s="223" t="s">
        <v>6</v>
      </c>
      <c r="J44" s="223" t="s">
        <v>7</v>
      </c>
      <c r="K44" s="223" t="s">
        <v>8</v>
      </c>
      <c r="L44" s="223" t="s">
        <v>9</v>
      </c>
      <c r="M44" s="223" t="s">
        <v>10</v>
      </c>
      <c r="N44" s="223" t="s">
        <v>11</v>
      </c>
      <c r="O44" s="223" t="s">
        <v>648</v>
      </c>
    </row>
    <row r="45" ht="15.75" customHeight="1">
      <c r="A45" s="223"/>
      <c r="B45" s="223"/>
      <c r="C45" s="223"/>
      <c r="D45" s="223"/>
      <c r="E45" s="223"/>
      <c r="F45" s="223"/>
      <c r="G45" s="223"/>
      <c r="H45" s="223"/>
      <c r="I45" s="223"/>
      <c r="J45" s="223"/>
      <c r="K45" s="223"/>
      <c r="L45" s="223"/>
      <c r="M45" s="223"/>
      <c r="N45" s="223"/>
      <c r="O45" s="321"/>
    </row>
    <row r="46" ht="15.75" customHeight="1">
      <c r="A46" s="223" t="s">
        <v>725</v>
      </c>
      <c r="B46" s="223">
        <v>0.0</v>
      </c>
      <c r="C46" s="223">
        <v>0.0</v>
      </c>
      <c r="D46" s="223">
        <v>0.0</v>
      </c>
      <c r="E46" s="223">
        <v>0.0</v>
      </c>
      <c r="F46" s="223">
        <v>1250.0</v>
      </c>
      <c r="G46" s="223">
        <v>0.0</v>
      </c>
      <c r="H46" s="223">
        <v>0.0</v>
      </c>
      <c r="I46" s="223">
        <v>0.0</v>
      </c>
      <c r="J46" s="223">
        <v>0.0</v>
      </c>
      <c r="K46" s="223">
        <v>0.0</v>
      </c>
      <c r="L46" s="223">
        <v>0.0</v>
      </c>
      <c r="M46" s="223">
        <v>0.0</v>
      </c>
      <c r="N46" s="223">
        <v>0.0</v>
      </c>
      <c r="O46" s="321"/>
    </row>
    <row r="47" ht="15.75" customHeight="1">
      <c r="A47" s="223" t="s">
        <v>661</v>
      </c>
      <c r="B47" s="223">
        <v>0.0</v>
      </c>
      <c r="C47" s="223">
        <v>0.0</v>
      </c>
      <c r="D47" s="223">
        <v>0.0</v>
      </c>
      <c r="E47" s="223">
        <v>0.0</v>
      </c>
      <c r="F47" s="223">
        <v>0.0</v>
      </c>
      <c r="G47" s="223">
        <v>0.0</v>
      </c>
      <c r="H47" s="223">
        <v>0.0</v>
      </c>
      <c r="I47" s="223">
        <v>0.0</v>
      </c>
      <c r="J47" s="223">
        <v>0.0</v>
      </c>
      <c r="K47" s="223">
        <v>0.0</v>
      </c>
      <c r="L47" s="223">
        <v>0.0</v>
      </c>
      <c r="M47" s="223">
        <v>0.0</v>
      </c>
      <c r="N47" s="223">
        <v>0.0</v>
      </c>
      <c r="O47" s="321"/>
    </row>
    <row r="48" ht="15.75" customHeight="1">
      <c r="A48" s="223" t="s">
        <v>726</v>
      </c>
      <c r="B48" s="223">
        <v>3030.0</v>
      </c>
      <c r="C48" s="223">
        <v>3500.0</v>
      </c>
      <c r="D48" s="223">
        <v>4250.0</v>
      </c>
      <c r="E48" s="223">
        <v>4000.0</v>
      </c>
      <c r="F48" s="223">
        <v>4000.0</v>
      </c>
      <c r="G48" s="223">
        <v>3500.0</v>
      </c>
      <c r="H48" s="223">
        <v>125.0</v>
      </c>
      <c r="I48" s="223">
        <v>1000.0</v>
      </c>
      <c r="J48" s="223">
        <v>1250.0</v>
      </c>
      <c r="K48" s="223">
        <v>1900.0</v>
      </c>
      <c r="L48" s="223">
        <v>2347.0</v>
      </c>
      <c r="M48" s="223">
        <v>4250.0</v>
      </c>
      <c r="N48" s="223">
        <v>6945.0</v>
      </c>
      <c r="O48" s="321"/>
    </row>
    <row r="49" ht="15.75" customHeight="1">
      <c r="A49" s="223" t="s">
        <v>668</v>
      </c>
      <c r="B49" s="223">
        <v>303.0</v>
      </c>
      <c r="C49" s="223">
        <v>350.0</v>
      </c>
      <c r="D49" s="223">
        <v>2000.0</v>
      </c>
      <c r="E49" s="223">
        <v>2000.0</v>
      </c>
      <c r="F49" s="223">
        <v>4300.0</v>
      </c>
      <c r="G49" s="223">
        <v>4800.0</v>
      </c>
      <c r="H49" s="223">
        <v>6750.0</v>
      </c>
      <c r="I49" s="223">
        <v>8500.0</v>
      </c>
      <c r="J49" s="223">
        <v>7000.0</v>
      </c>
      <c r="K49" s="223">
        <v>7150.0</v>
      </c>
      <c r="L49" s="223">
        <v>4668.0</v>
      </c>
      <c r="M49" s="223">
        <v>5750.0</v>
      </c>
      <c r="N49" s="223">
        <v>4511.0</v>
      </c>
      <c r="O49" s="321"/>
    </row>
    <row r="50" ht="15.75" customHeight="1">
      <c r="A50" s="223" t="s">
        <v>662</v>
      </c>
      <c r="B50" s="223">
        <v>0.0</v>
      </c>
      <c r="C50" s="223">
        <v>3000.0</v>
      </c>
      <c r="D50" s="223">
        <v>4000.0</v>
      </c>
      <c r="E50" s="223">
        <v>3750.0</v>
      </c>
      <c r="F50" s="223">
        <v>3750.0</v>
      </c>
      <c r="G50" s="223">
        <v>0.0</v>
      </c>
      <c r="H50" s="223">
        <v>0.0</v>
      </c>
      <c r="I50" s="223">
        <v>0.0</v>
      </c>
      <c r="J50" s="223">
        <v>0.0</v>
      </c>
      <c r="K50" s="223">
        <v>0.0</v>
      </c>
      <c r="L50" s="223">
        <v>0.0</v>
      </c>
      <c r="M50" s="223">
        <v>0.0</v>
      </c>
      <c r="N50" s="223">
        <v>0.0</v>
      </c>
      <c r="O50" s="321"/>
    </row>
    <row r="51" ht="15.75" customHeight="1">
      <c r="A51" s="223" t="s">
        <v>727</v>
      </c>
      <c r="B51" s="223">
        <v>22650.0</v>
      </c>
      <c r="C51" s="223">
        <v>22300.0</v>
      </c>
      <c r="D51" s="223">
        <v>21950.0</v>
      </c>
      <c r="E51" s="223">
        <v>21600.0</v>
      </c>
      <c r="F51" s="223">
        <v>20850.0</v>
      </c>
      <c r="G51" s="223">
        <v>20850.0</v>
      </c>
      <c r="H51" s="223">
        <v>20500.0</v>
      </c>
      <c r="I51" s="223">
        <v>20150.0</v>
      </c>
      <c r="J51" s="223">
        <v>19800.0</v>
      </c>
      <c r="K51" s="223">
        <v>19500.0</v>
      </c>
      <c r="L51" s="223">
        <v>19200.0</v>
      </c>
      <c r="M51" s="223">
        <v>1750.0</v>
      </c>
      <c r="N51" s="223">
        <v>0.0</v>
      </c>
      <c r="O51" s="223"/>
    </row>
    <row r="52" ht="15.75" customHeight="1">
      <c r="A52" s="223" t="s">
        <v>652</v>
      </c>
      <c r="B52" s="223">
        <v>0.0</v>
      </c>
      <c r="C52" s="223">
        <v>0.0</v>
      </c>
      <c r="D52" s="223">
        <v>0.0</v>
      </c>
      <c r="E52" s="223">
        <v>0.0</v>
      </c>
      <c r="F52" s="223">
        <v>0.0</v>
      </c>
      <c r="G52" s="223">
        <v>0.0</v>
      </c>
      <c r="H52" s="223">
        <v>0.0</v>
      </c>
      <c r="I52" s="223">
        <v>0.0</v>
      </c>
      <c r="J52" s="223">
        <v>0.0</v>
      </c>
      <c r="K52" s="223">
        <v>0.0</v>
      </c>
      <c r="L52" s="223">
        <v>0.0</v>
      </c>
      <c r="M52" s="223">
        <v>15300.0</v>
      </c>
      <c r="N52" s="223">
        <v>15300.0</v>
      </c>
      <c r="O52" s="223"/>
    </row>
    <row r="53" ht="15.75" customHeight="1">
      <c r="A53" s="223" t="s">
        <v>651</v>
      </c>
      <c r="B53" s="223">
        <v>14797.0</v>
      </c>
      <c r="C53" s="223">
        <v>14500.0</v>
      </c>
      <c r="D53" s="223">
        <v>14250.0</v>
      </c>
      <c r="E53" s="223">
        <v>14000.0</v>
      </c>
      <c r="F53" s="223">
        <v>13650.0</v>
      </c>
      <c r="G53" s="223">
        <v>13366.0</v>
      </c>
      <c r="H53" s="223">
        <v>12977.0</v>
      </c>
      <c r="I53" s="223">
        <v>12797.0</v>
      </c>
      <c r="J53" s="223">
        <v>12500.0</v>
      </c>
      <c r="K53" s="223">
        <v>12230.0</v>
      </c>
      <c r="L53" s="223">
        <v>11446.0</v>
      </c>
      <c r="M53" s="223">
        <v>10000.0</v>
      </c>
      <c r="N53" s="223">
        <v>10012.0</v>
      </c>
      <c r="O53" s="321"/>
    </row>
    <row r="54" ht="15.75" customHeight="1">
      <c r="A54" s="223" t="s">
        <v>650</v>
      </c>
      <c r="B54" s="223">
        <v>1945.0</v>
      </c>
      <c r="C54" s="223">
        <v>1945.0</v>
      </c>
      <c r="D54" s="223">
        <v>1945.0</v>
      </c>
      <c r="E54" s="223">
        <v>1945.0</v>
      </c>
      <c r="F54" s="223">
        <v>1945.0</v>
      </c>
      <c r="G54" s="223">
        <v>1938.0</v>
      </c>
      <c r="H54" s="223">
        <v>1928.0</v>
      </c>
      <c r="I54" s="223">
        <v>1916.0</v>
      </c>
      <c r="J54" s="223">
        <v>1911.0</v>
      </c>
      <c r="K54" s="223">
        <v>1852.0</v>
      </c>
      <c r="L54" s="223">
        <v>1797.0</v>
      </c>
      <c r="M54" s="223">
        <v>1787.0</v>
      </c>
      <c r="N54" s="223">
        <v>1776.0</v>
      </c>
      <c r="O54" s="321"/>
    </row>
    <row r="55" ht="15.75" customHeight="1">
      <c r="A55" s="223" t="s">
        <v>649</v>
      </c>
      <c r="B55" s="223">
        <v>20923.0</v>
      </c>
      <c r="C55" s="223">
        <v>20985.0</v>
      </c>
      <c r="D55" s="223">
        <v>20919.0</v>
      </c>
      <c r="E55" s="223">
        <v>20900.0</v>
      </c>
      <c r="F55" s="223">
        <v>18765.0</v>
      </c>
      <c r="G55" s="223">
        <v>18697.0</v>
      </c>
      <c r="H55" s="223">
        <v>18606.0</v>
      </c>
      <c r="I55" s="223">
        <v>18486.0</v>
      </c>
      <c r="J55" s="223">
        <v>18439.0</v>
      </c>
      <c r="K55" s="223">
        <v>17866.0</v>
      </c>
      <c r="L55" s="223">
        <v>17342.0</v>
      </c>
      <c r="M55" s="223">
        <v>17245.0</v>
      </c>
      <c r="N55" s="223">
        <v>17135.0</v>
      </c>
      <c r="O55" s="321"/>
    </row>
    <row r="56" ht="15.75" customHeight="1">
      <c r="A56" s="223"/>
      <c r="B56" s="223"/>
      <c r="C56" s="223"/>
      <c r="D56" s="223"/>
      <c r="E56" s="223"/>
      <c r="F56" s="223"/>
      <c r="G56" s="223"/>
      <c r="H56" s="223"/>
      <c r="I56" s="223"/>
      <c r="J56" s="224"/>
      <c r="K56" s="223"/>
      <c r="L56" s="223"/>
      <c r="M56" s="223"/>
      <c r="N56" s="223"/>
      <c r="O56" s="321"/>
    </row>
    <row r="57" ht="15.75" customHeight="1">
      <c r="A57" s="322" t="s">
        <v>291</v>
      </c>
      <c r="B57" s="322">
        <f t="shared" ref="B57:F57" si="9">Sum(B45:B56)</f>
        <v>63648</v>
      </c>
      <c r="C57" s="322">
        <f t="shared" si="9"/>
        <v>66580</v>
      </c>
      <c r="D57" s="322">
        <f t="shared" si="9"/>
        <v>69314</v>
      </c>
      <c r="E57" s="322">
        <f t="shared" si="9"/>
        <v>68195</v>
      </c>
      <c r="F57" s="322">
        <f t="shared" si="9"/>
        <v>68510</v>
      </c>
      <c r="G57" s="322">
        <f t="shared" ref="G57:N57" si="10">Sum(G46:G55)</f>
        <v>63151</v>
      </c>
      <c r="H57" s="322">
        <f t="shared" si="10"/>
        <v>60886</v>
      </c>
      <c r="I57" s="322">
        <f t="shared" si="10"/>
        <v>62849</v>
      </c>
      <c r="J57" s="322">
        <f t="shared" si="10"/>
        <v>60900</v>
      </c>
      <c r="K57" s="322">
        <f t="shared" si="10"/>
        <v>60498</v>
      </c>
      <c r="L57" s="322">
        <f t="shared" si="10"/>
        <v>56800</v>
      </c>
      <c r="M57" s="322">
        <f t="shared" si="10"/>
        <v>56082</v>
      </c>
      <c r="N57" s="322">
        <f t="shared" si="10"/>
        <v>55679</v>
      </c>
      <c r="O57" s="322">
        <f>Sum(O50:O54)</f>
        <v>0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>
      <c r="A63" s="291" t="s">
        <v>728</v>
      </c>
      <c r="B63" s="291" t="s">
        <v>35</v>
      </c>
      <c r="C63" s="291" t="s">
        <v>0</v>
      </c>
      <c r="D63" s="291" t="s">
        <v>1</v>
      </c>
      <c r="E63" s="291" t="s">
        <v>2</v>
      </c>
      <c r="F63" s="291" t="s">
        <v>3</v>
      </c>
      <c r="G63" s="291" t="s">
        <v>4</v>
      </c>
      <c r="H63" s="291" t="s">
        <v>5</v>
      </c>
      <c r="I63" s="291" t="s">
        <v>6</v>
      </c>
      <c r="J63" s="291" t="s">
        <v>7</v>
      </c>
      <c r="K63" s="291" t="s">
        <v>8</v>
      </c>
      <c r="L63" s="291" t="s">
        <v>9</v>
      </c>
      <c r="M63" s="291" t="s">
        <v>10</v>
      </c>
      <c r="N63" s="291" t="s">
        <v>11</v>
      </c>
      <c r="O63" s="291" t="s">
        <v>648</v>
      </c>
    </row>
    <row r="64" ht="15.75" customHeight="1">
      <c r="A64" s="291"/>
      <c r="B64" s="291"/>
      <c r="C64" s="291"/>
      <c r="D64" s="291"/>
      <c r="E64" s="291"/>
      <c r="F64" s="291"/>
      <c r="G64" s="291"/>
      <c r="H64" s="291"/>
      <c r="I64" s="291"/>
      <c r="J64" s="291"/>
      <c r="K64" s="291"/>
      <c r="L64" s="291"/>
      <c r="M64" s="291"/>
      <c r="N64" s="291"/>
      <c r="O64" s="311"/>
    </row>
    <row r="65" ht="15.75" customHeight="1">
      <c r="A65" s="291" t="s">
        <v>726</v>
      </c>
      <c r="B65" s="291">
        <v>3000.0</v>
      </c>
      <c r="C65" s="291" t="s">
        <v>729</v>
      </c>
      <c r="D65" s="291">
        <v>0.0</v>
      </c>
      <c r="E65" s="291">
        <v>0.0</v>
      </c>
      <c r="F65" s="291">
        <v>0.0</v>
      </c>
      <c r="G65" s="291">
        <v>0.0</v>
      </c>
      <c r="H65" s="291">
        <v>0.0</v>
      </c>
      <c r="I65" s="291" t="s">
        <v>730</v>
      </c>
      <c r="J65" s="291">
        <v>0.0</v>
      </c>
      <c r="K65" s="291" t="s">
        <v>731</v>
      </c>
      <c r="L65" s="291" t="s">
        <v>732</v>
      </c>
      <c r="M65" s="291" t="s">
        <v>733</v>
      </c>
      <c r="N65" s="291"/>
      <c r="O65" s="311"/>
    </row>
    <row r="66" ht="15.75" customHeight="1">
      <c r="A66" s="291" t="s">
        <v>668</v>
      </c>
      <c r="B66" s="291">
        <v>4400.0</v>
      </c>
      <c r="C66" s="291">
        <v>0.0</v>
      </c>
      <c r="D66" s="291">
        <v>0.0</v>
      </c>
      <c r="E66" s="291" t="s">
        <v>734</v>
      </c>
      <c r="F66" s="291" t="s">
        <v>735</v>
      </c>
      <c r="G66" s="291">
        <v>0.0</v>
      </c>
      <c r="H66" s="291" t="s">
        <v>736</v>
      </c>
      <c r="I66" s="291"/>
      <c r="J66" s="291"/>
      <c r="K66" s="291"/>
      <c r="L66" s="291">
        <v>0.0</v>
      </c>
      <c r="M66" s="291">
        <v>0.0</v>
      </c>
      <c r="N66" s="291"/>
      <c r="O66" s="311"/>
    </row>
    <row r="67" ht="15.75" customHeight="1">
      <c r="A67" s="291" t="s">
        <v>662</v>
      </c>
      <c r="B67" s="291">
        <v>0.0</v>
      </c>
      <c r="C67" s="291" t="s">
        <v>737</v>
      </c>
      <c r="D67" s="291" t="s">
        <v>738</v>
      </c>
      <c r="E67" s="291" t="s">
        <v>739</v>
      </c>
      <c r="F67" s="291" t="s">
        <v>739</v>
      </c>
      <c r="G67" s="291" t="s">
        <v>740</v>
      </c>
      <c r="H67" s="291">
        <v>0.0</v>
      </c>
      <c r="I67" s="291">
        <v>0.0</v>
      </c>
      <c r="J67" s="291">
        <v>0.0</v>
      </c>
      <c r="K67" s="291">
        <v>0.0</v>
      </c>
      <c r="L67" s="291">
        <v>0.0</v>
      </c>
      <c r="M67" s="291">
        <v>0.0</v>
      </c>
      <c r="N67" s="291"/>
      <c r="O67" s="311"/>
    </row>
    <row r="68" ht="15.75" customHeight="1">
      <c r="A68" s="291" t="s">
        <v>661</v>
      </c>
      <c r="B68" s="291">
        <v>0.0</v>
      </c>
      <c r="C68" s="291">
        <v>0.0</v>
      </c>
      <c r="D68" s="291">
        <v>0.0</v>
      </c>
      <c r="E68" s="291">
        <v>0.0</v>
      </c>
      <c r="F68" s="291">
        <v>0.0</v>
      </c>
      <c r="G68" s="291">
        <v>0.0</v>
      </c>
      <c r="H68" s="291">
        <v>0.0</v>
      </c>
      <c r="I68" s="291">
        <v>0.0</v>
      </c>
      <c r="J68" s="291">
        <v>0.0</v>
      </c>
      <c r="K68" s="291">
        <v>0.0</v>
      </c>
      <c r="L68" s="291">
        <v>0.0</v>
      </c>
      <c r="M68" s="291">
        <v>0.0</v>
      </c>
      <c r="N68" s="291"/>
      <c r="O68" s="311"/>
    </row>
    <row r="69" ht="15.75" customHeight="1">
      <c r="A69" s="291" t="s">
        <v>727</v>
      </c>
      <c r="B69" s="291">
        <v>19200.0</v>
      </c>
      <c r="C69" s="291">
        <v>0.0</v>
      </c>
      <c r="D69" s="291">
        <v>0.0</v>
      </c>
      <c r="E69" s="291">
        <v>0.0</v>
      </c>
      <c r="F69" s="291">
        <v>0.0</v>
      </c>
      <c r="G69" s="291">
        <v>0.0</v>
      </c>
      <c r="H69" s="291">
        <v>0.0</v>
      </c>
      <c r="I69" s="291">
        <v>0.0</v>
      </c>
      <c r="J69" s="291">
        <v>0.0</v>
      </c>
      <c r="K69" s="291">
        <v>0.0</v>
      </c>
      <c r="L69" s="291">
        <v>0.0</v>
      </c>
      <c r="M69" s="291">
        <v>0.0</v>
      </c>
      <c r="N69" s="291"/>
      <c r="O69" s="311"/>
    </row>
    <row r="70" ht="15.75" customHeight="1">
      <c r="A70" s="291" t="s">
        <v>725</v>
      </c>
      <c r="B70" s="291">
        <v>0.0</v>
      </c>
      <c r="C70" s="291">
        <v>0.0</v>
      </c>
      <c r="D70" s="291">
        <v>0.0</v>
      </c>
      <c r="E70" s="291">
        <v>0.0</v>
      </c>
      <c r="F70" s="291">
        <v>0.0</v>
      </c>
      <c r="G70" s="291">
        <v>0.0</v>
      </c>
      <c r="H70" s="291">
        <v>0.0</v>
      </c>
      <c r="I70" s="291">
        <v>0.0</v>
      </c>
      <c r="J70" s="291">
        <v>0.0</v>
      </c>
      <c r="K70" s="291">
        <v>0.0</v>
      </c>
      <c r="L70" s="291" t="s">
        <v>741</v>
      </c>
      <c r="M70" s="291">
        <v>0.0</v>
      </c>
      <c r="N70" s="291"/>
      <c r="O70" s="311"/>
    </row>
    <row r="71" ht="15.75" customHeight="1">
      <c r="A71" s="291"/>
      <c r="B71" s="291"/>
      <c r="C71" s="291"/>
      <c r="D71" s="291"/>
      <c r="E71" s="291"/>
      <c r="F71" s="291"/>
      <c r="G71" s="291"/>
      <c r="H71" s="291"/>
      <c r="I71" s="291"/>
      <c r="J71" s="292"/>
      <c r="K71" s="291"/>
      <c r="L71" s="291"/>
      <c r="M71" s="291"/>
      <c r="N71" s="291"/>
      <c r="O71" s="311"/>
    </row>
    <row r="72" ht="15.75" customHeight="1">
      <c r="A72" s="294" t="s">
        <v>291</v>
      </c>
      <c r="B72" s="294">
        <f>Sum(B64:B70)</f>
        <v>26600</v>
      </c>
      <c r="C72" s="294">
        <v>3266.0</v>
      </c>
      <c r="D72" s="294">
        <v>1000.0</v>
      </c>
      <c r="E72" s="294">
        <v>758.0</v>
      </c>
      <c r="F72" s="294">
        <v>769.0</v>
      </c>
      <c r="G72" s="294">
        <v>250.0</v>
      </c>
      <c r="H72" s="294">
        <v>420.0</v>
      </c>
      <c r="I72" s="294">
        <v>254.0</v>
      </c>
      <c r="J72" s="294">
        <f>Sum(J65:J68)</f>
        <v>0</v>
      </c>
      <c r="K72" s="294">
        <v>1225.0</v>
      </c>
      <c r="L72" s="294">
        <v>2898.0</v>
      </c>
      <c r="M72" s="294">
        <f t="shared" ref="M72:O72" si="11">Sum(M67)</f>
        <v>0</v>
      </c>
      <c r="N72" s="294">
        <f t="shared" si="11"/>
        <v>0</v>
      </c>
      <c r="O72" s="294">
        <f t="shared" si="11"/>
        <v>0</v>
      </c>
    </row>
    <row r="73" ht="15.75" customHeight="1"/>
    <row r="74" ht="15.75" customHeight="1"/>
    <row r="75" ht="15.75" customHeight="1"/>
    <row r="76" ht="15.75" customHeight="1">
      <c r="A76" s="295" t="s">
        <v>742</v>
      </c>
      <c r="B76" s="295"/>
      <c r="C76" s="295" t="s">
        <v>743</v>
      </c>
      <c r="D76" s="295" t="s">
        <v>744</v>
      </c>
      <c r="E76" s="295" t="s">
        <v>745</v>
      </c>
      <c r="F76" s="295" t="s">
        <v>746</v>
      </c>
      <c r="G76" s="295" t="s">
        <v>747</v>
      </c>
      <c r="H76" s="295" t="s">
        <v>748</v>
      </c>
      <c r="I76" s="295" t="s">
        <v>749</v>
      </c>
      <c r="J76" s="295" t="s">
        <v>750</v>
      </c>
      <c r="K76" s="295" t="s">
        <v>751</v>
      </c>
      <c r="L76" s="295" t="s">
        <v>752</v>
      </c>
      <c r="M76" s="295" t="s">
        <v>753</v>
      </c>
      <c r="N76" s="295" t="s">
        <v>754</v>
      </c>
      <c r="O76" s="296"/>
    </row>
    <row r="77" ht="15.75" customHeight="1">
      <c r="A77" s="296"/>
      <c r="B77" s="296"/>
      <c r="C77" s="296"/>
      <c r="D77" s="296"/>
      <c r="E77" s="296"/>
      <c r="F77" s="296"/>
      <c r="G77" s="296"/>
      <c r="H77" s="296"/>
      <c r="I77" s="296"/>
      <c r="J77" s="296"/>
      <c r="K77" s="296"/>
      <c r="L77" s="296"/>
      <c r="M77" s="296"/>
      <c r="N77" s="296"/>
      <c r="O77" s="296"/>
    </row>
    <row r="78" ht="15.75" customHeight="1">
      <c r="A78" s="296" t="s">
        <v>516</v>
      </c>
      <c r="B78" s="296"/>
      <c r="C78" s="296">
        <v>3638.34</v>
      </c>
      <c r="D78" s="296">
        <v>3995.04</v>
      </c>
      <c r="E78" s="296">
        <v>5136.48</v>
      </c>
      <c r="F78" s="296">
        <v>5707.2</v>
      </c>
      <c r="G78" s="296">
        <v>3995.04</v>
      </c>
      <c r="H78" s="296">
        <v>5942.4</v>
      </c>
      <c r="I78" s="296">
        <v>5348.16</v>
      </c>
      <c r="J78" s="296">
        <v>5651.2</v>
      </c>
      <c r="K78" s="296">
        <v>5942.4</v>
      </c>
      <c r="L78" s="296">
        <v>5942.4</v>
      </c>
      <c r="M78" s="296">
        <v>5942.4</v>
      </c>
      <c r="N78" s="296">
        <v>5942.4</v>
      </c>
      <c r="O78" s="296"/>
    </row>
    <row r="79" ht="15.75" customHeight="1">
      <c r="A79" s="296" t="s">
        <v>517</v>
      </c>
      <c r="B79" s="296"/>
      <c r="C79" s="296">
        <v>5707.2</v>
      </c>
      <c r="D79" s="296">
        <v>2853.6</v>
      </c>
      <c r="E79" s="296">
        <v>5136.48</v>
      </c>
      <c r="F79" s="296">
        <v>5707.2</v>
      </c>
      <c r="G79" s="296">
        <v>94.08</v>
      </c>
      <c r="H79" s="296">
        <v>5645.28</v>
      </c>
      <c r="I79" s="296">
        <v>5942.4</v>
      </c>
      <c r="J79" s="296">
        <v>291.2</v>
      </c>
      <c r="K79" s="296">
        <v>5942.4</v>
      </c>
      <c r="L79" s="296">
        <v>5348.16</v>
      </c>
      <c r="M79" s="296">
        <v>5793.84</v>
      </c>
      <c r="N79" s="296">
        <v>5942.4</v>
      </c>
      <c r="O79" s="296"/>
    </row>
    <row r="80" ht="15.75" customHeight="1">
      <c r="A80" s="296" t="s">
        <v>518</v>
      </c>
      <c r="B80" s="296"/>
      <c r="C80" s="296"/>
      <c r="D80" s="296"/>
      <c r="E80" s="296"/>
      <c r="F80" s="296">
        <v>5707.2</v>
      </c>
      <c r="G80" s="296">
        <v>5707.2</v>
      </c>
      <c r="H80" s="296"/>
      <c r="I80" s="296"/>
      <c r="J80" s="296">
        <v>4753.92</v>
      </c>
      <c r="K80" s="296">
        <v>4753.92</v>
      </c>
      <c r="L80" s="296"/>
      <c r="M80" s="296"/>
      <c r="N80" s="296"/>
      <c r="O80" s="296"/>
    </row>
    <row r="81" ht="15.75" customHeight="1">
      <c r="A81" s="296" t="s">
        <v>755</v>
      </c>
      <c r="B81" s="296"/>
      <c r="C81" s="296">
        <v>956.0</v>
      </c>
      <c r="D81" s="296">
        <v>2560.02</v>
      </c>
      <c r="E81" s="296">
        <v>0.0</v>
      </c>
      <c r="F81" s="296">
        <v>4189.4</v>
      </c>
      <c r="G81" s="296">
        <v>2857.96</v>
      </c>
      <c r="H81" s="296">
        <v>3485.52</v>
      </c>
      <c r="I81" s="296">
        <v>3214.5</v>
      </c>
      <c r="J81" s="296">
        <v>3072.45</v>
      </c>
      <c r="K81" s="296">
        <v>3114.5</v>
      </c>
      <c r="L81" s="296">
        <v>3842.76</v>
      </c>
      <c r="M81" s="296">
        <v>3301.71</v>
      </c>
      <c r="N81" s="296">
        <v>3272.45</v>
      </c>
      <c r="O81" s="296"/>
    </row>
    <row r="82" ht="15.75" customHeight="1">
      <c r="A82" s="296" t="s">
        <v>756</v>
      </c>
      <c r="B82" s="296"/>
      <c r="C82" s="296">
        <v>2103.0</v>
      </c>
      <c r="D82" s="296"/>
      <c r="E82" s="296"/>
      <c r="F82" s="296">
        <v>4388.43</v>
      </c>
      <c r="G82" s="296"/>
      <c r="H82" s="296"/>
      <c r="I82" s="296"/>
      <c r="J82" s="296"/>
      <c r="K82" s="296"/>
      <c r="L82" s="296"/>
      <c r="M82" s="296"/>
      <c r="N82" s="296"/>
      <c r="O82" s="296"/>
    </row>
    <row r="83" ht="15.75" customHeight="1">
      <c r="A83" s="296" t="s">
        <v>757</v>
      </c>
      <c r="B83" s="296"/>
      <c r="C83" s="296">
        <v>2560.02</v>
      </c>
      <c r="D83" s="296"/>
      <c r="E83" s="296"/>
      <c r="F83" s="296"/>
      <c r="G83" s="296"/>
      <c r="H83" s="296"/>
      <c r="I83" s="296"/>
      <c r="J83" s="296"/>
      <c r="K83" s="296"/>
      <c r="L83" s="296"/>
      <c r="M83" s="296"/>
      <c r="N83" s="296"/>
      <c r="O83" s="296"/>
    </row>
    <row r="84" ht="15.75" customHeight="1">
      <c r="A84" s="296" t="s">
        <v>520</v>
      </c>
      <c r="B84" s="296"/>
      <c r="C84" s="296"/>
      <c r="D84" s="296"/>
      <c r="E84" s="296"/>
      <c r="F84" s="296"/>
      <c r="G84" s="296"/>
      <c r="H84" s="296"/>
      <c r="I84" s="296"/>
      <c r="J84" s="296"/>
      <c r="K84" s="296">
        <v>1000.0</v>
      </c>
      <c r="L84" s="296">
        <v>1000.0</v>
      </c>
      <c r="M84" s="296">
        <v>1000.0</v>
      </c>
      <c r="N84" s="296">
        <v>1000.0</v>
      </c>
      <c r="O84" s="296"/>
    </row>
    <row r="85" ht="15.75" customHeight="1">
      <c r="A85" s="296" t="s">
        <v>521</v>
      </c>
      <c r="B85" s="296"/>
      <c r="C85" s="296">
        <v>3000.0</v>
      </c>
      <c r="D85" s="296">
        <v>1000.0</v>
      </c>
      <c r="E85" s="296">
        <v>3000.0</v>
      </c>
      <c r="F85" s="296">
        <v>3000.0</v>
      </c>
      <c r="G85" s="296">
        <v>4000.0</v>
      </c>
      <c r="H85" s="296">
        <v>4000.0</v>
      </c>
      <c r="I85" s="296">
        <v>4000.0</v>
      </c>
      <c r="J85" s="296">
        <v>4000.0</v>
      </c>
      <c r="K85" s="296">
        <v>4000.0</v>
      </c>
      <c r="L85" s="296">
        <v>4000.0</v>
      </c>
      <c r="M85" s="296">
        <v>4000.0</v>
      </c>
      <c r="N85" s="296">
        <v>4000.0</v>
      </c>
      <c r="O85" s="296"/>
    </row>
    <row r="86" ht="15.75" customHeight="1">
      <c r="A86" s="296" t="s">
        <v>679</v>
      </c>
      <c r="B86" s="296"/>
      <c r="C86" s="296"/>
      <c r="D86" s="296"/>
      <c r="E86" s="296"/>
      <c r="F86" s="296"/>
      <c r="G86" s="296">
        <v>1500.0</v>
      </c>
      <c r="H86" s="296">
        <v>405.0</v>
      </c>
      <c r="I86" s="296"/>
      <c r="J86" s="296"/>
      <c r="K86" s="296">
        <v>1500.0</v>
      </c>
      <c r="L86" s="296"/>
      <c r="M86" s="296"/>
      <c r="N86" s="296"/>
      <c r="O86" s="296"/>
    </row>
    <row r="87" ht="15.75" customHeight="1">
      <c r="A87" s="296"/>
      <c r="B87" s="296"/>
      <c r="C87" s="296"/>
      <c r="D87" s="296"/>
      <c r="E87" s="296"/>
      <c r="F87" s="296"/>
      <c r="G87" s="296"/>
      <c r="H87" s="296"/>
      <c r="I87" s="296"/>
      <c r="J87" s="296"/>
      <c r="K87" s="296"/>
      <c r="L87" s="296"/>
      <c r="M87" s="296"/>
      <c r="N87" s="296"/>
      <c r="O87" s="296"/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63"/>
    <col customWidth="1" min="2" max="2" width="11.5"/>
    <col customWidth="1" min="3" max="3" width="7.63"/>
    <col customWidth="1" min="4" max="5" width="8.0"/>
    <col customWidth="1" min="6" max="6" width="7.88"/>
    <col customWidth="1" min="7" max="7" width="8.38"/>
    <col customWidth="1" min="8" max="8" width="7.63"/>
    <col customWidth="1" min="9" max="9" width="8.0"/>
    <col customWidth="1" min="10" max="10" width="8.25"/>
    <col customWidth="1" min="11" max="11" width="8.0"/>
    <col customWidth="1" min="12" max="12" width="7.75"/>
    <col customWidth="1" min="13" max="13" width="8.25"/>
    <col customWidth="1" min="14" max="14" width="8.0"/>
    <col customWidth="1" min="15" max="15" width="14.38"/>
    <col customWidth="1" min="16" max="26" width="15.13"/>
  </cols>
  <sheetData>
    <row r="1" ht="15.75" customHeight="1">
      <c r="A1" s="323" t="s">
        <v>758</v>
      </c>
      <c r="B1" s="324" t="s">
        <v>71</v>
      </c>
      <c r="C1" s="324" t="s">
        <v>759</v>
      </c>
      <c r="D1" s="324" t="s">
        <v>760</v>
      </c>
      <c r="E1" s="324" t="s">
        <v>761</v>
      </c>
      <c r="F1" s="324" t="s">
        <v>762</v>
      </c>
      <c r="G1" s="324" t="s">
        <v>763</v>
      </c>
      <c r="H1" s="324" t="s">
        <v>764</v>
      </c>
      <c r="I1" s="324" t="s">
        <v>765</v>
      </c>
      <c r="J1" s="324" t="s">
        <v>766</v>
      </c>
      <c r="K1" s="324" t="s">
        <v>767</v>
      </c>
      <c r="L1" s="324" t="s">
        <v>768</v>
      </c>
      <c r="M1" s="324" t="s">
        <v>769</v>
      </c>
      <c r="N1" s="324" t="s">
        <v>770</v>
      </c>
      <c r="O1" s="299" t="s">
        <v>614</v>
      </c>
    </row>
    <row r="2" ht="15.75" customHeight="1">
      <c r="A2" s="184"/>
      <c r="B2" s="265"/>
      <c r="C2" s="265">
        <v>3202.0</v>
      </c>
      <c r="D2" s="265">
        <v>18045.0</v>
      </c>
      <c r="E2" s="265">
        <v>6119.0</v>
      </c>
      <c r="F2" s="265">
        <v>2900.0</v>
      </c>
      <c r="G2" s="265">
        <v>3500.0</v>
      </c>
      <c r="H2" s="265">
        <v>3928.0</v>
      </c>
      <c r="I2" s="265">
        <v>4268.0</v>
      </c>
      <c r="J2" s="265">
        <v>3272.0</v>
      </c>
      <c r="K2" s="265">
        <v>4200.0</v>
      </c>
      <c r="L2" s="265">
        <v>3553.0</v>
      </c>
      <c r="M2" s="265">
        <v>4825.0</v>
      </c>
      <c r="N2" s="265">
        <v>4825.0</v>
      </c>
      <c r="O2" s="37"/>
    </row>
    <row r="3" ht="15.75" customHeight="1">
      <c r="A3" s="196" t="s">
        <v>771</v>
      </c>
      <c r="B3" s="196" t="s">
        <v>223</v>
      </c>
      <c r="C3" s="196">
        <v>0.0</v>
      </c>
      <c r="D3" s="196">
        <v>200.0</v>
      </c>
      <c r="E3" s="196">
        <v>100.0</v>
      </c>
      <c r="F3" s="196">
        <v>0.0</v>
      </c>
      <c r="G3" s="196">
        <v>0.0</v>
      </c>
      <c r="H3" s="196">
        <v>0.0</v>
      </c>
      <c r="I3" s="196">
        <v>0.0</v>
      </c>
      <c r="J3" s="196">
        <v>69.0</v>
      </c>
      <c r="K3" s="196">
        <v>69.0</v>
      </c>
      <c r="L3" s="196">
        <v>0.0</v>
      </c>
      <c r="M3" s="196">
        <v>15.0</v>
      </c>
      <c r="N3" s="196">
        <v>27.0</v>
      </c>
      <c r="O3" s="198" t="s">
        <v>223</v>
      </c>
    </row>
    <row r="4" ht="15.75" customHeight="1">
      <c r="A4" s="196" t="s">
        <v>772</v>
      </c>
      <c r="B4" s="196">
        <v>0.0</v>
      </c>
      <c r="C4" s="196">
        <v>50.0</v>
      </c>
      <c r="D4" s="196">
        <v>50.0</v>
      </c>
      <c r="E4" s="196">
        <v>50.0</v>
      </c>
      <c r="F4" s="196">
        <v>50.0</v>
      </c>
      <c r="G4" s="196">
        <v>50.0</v>
      </c>
      <c r="H4" s="196">
        <v>50.0</v>
      </c>
      <c r="I4" s="196">
        <v>50.0</v>
      </c>
      <c r="J4" s="196">
        <v>50.0</v>
      </c>
      <c r="K4" s="196">
        <v>50.0</v>
      </c>
      <c r="L4" s="196">
        <v>50.0</v>
      </c>
      <c r="M4" s="196">
        <v>50.0</v>
      </c>
      <c r="N4" s="196">
        <v>50.0</v>
      </c>
      <c r="O4" s="198" t="s">
        <v>223</v>
      </c>
    </row>
    <row r="5" ht="15.75" customHeight="1">
      <c r="A5" s="196" t="s">
        <v>773</v>
      </c>
      <c r="B5" s="196">
        <v>0.0</v>
      </c>
      <c r="C5" s="196">
        <v>0.0</v>
      </c>
      <c r="D5" s="196">
        <v>0.0</v>
      </c>
      <c r="E5" s="196">
        <v>0.0</v>
      </c>
      <c r="F5" s="196">
        <v>0.0</v>
      </c>
      <c r="G5" s="196">
        <v>0.0</v>
      </c>
      <c r="H5" s="196">
        <v>0.0</v>
      </c>
      <c r="I5" s="196">
        <v>0.0</v>
      </c>
      <c r="J5" s="196">
        <v>196.0</v>
      </c>
      <c r="K5" s="196">
        <v>196.0</v>
      </c>
      <c r="L5" s="196">
        <v>196.0</v>
      </c>
      <c r="M5" s="196">
        <v>196.0</v>
      </c>
      <c r="N5" s="196">
        <v>196.0</v>
      </c>
      <c r="O5" s="198" t="s">
        <v>223</v>
      </c>
    </row>
    <row r="6" ht="15.75" customHeight="1">
      <c r="A6" s="196" t="s">
        <v>707</v>
      </c>
      <c r="B6" s="196">
        <v>0.0</v>
      </c>
      <c r="C6" s="196">
        <v>630.0</v>
      </c>
      <c r="D6" s="196">
        <v>630.0</v>
      </c>
      <c r="E6" s="196">
        <v>630.0</v>
      </c>
      <c r="F6" s="196">
        <v>630.0</v>
      </c>
      <c r="G6" s="196">
        <v>630.0</v>
      </c>
      <c r="H6" s="196">
        <v>630.0</v>
      </c>
      <c r="I6" s="196">
        <v>630.0</v>
      </c>
      <c r="J6" s="196">
        <v>630.0</v>
      </c>
      <c r="K6" s="196">
        <v>630.0</v>
      </c>
      <c r="L6" s="196">
        <v>630.0</v>
      </c>
      <c r="M6" s="196">
        <v>630.0</v>
      </c>
      <c r="N6" s="196">
        <v>630.0</v>
      </c>
      <c r="O6" s="198">
        <v>240450.0</v>
      </c>
    </row>
    <row r="7" ht="15.75" customHeight="1">
      <c r="A7" s="196" t="s">
        <v>708</v>
      </c>
      <c r="B7" s="196">
        <v>14800.0</v>
      </c>
      <c r="C7" s="196">
        <v>324.0</v>
      </c>
      <c r="D7" s="196">
        <v>324.0</v>
      </c>
      <c r="E7" s="196">
        <v>324.0</v>
      </c>
      <c r="F7" s="196">
        <v>324.0</v>
      </c>
      <c r="G7" s="196">
        <v>324.0</v>
      </c>
      <c r="H7" s="196">
        <v>324.0</v>
      </c>
      <c r="I7" s="196">
        <v>324.0</v>
      </c>
      <c r="J7" s="196">
        <v>324.0</v>
      </c>
      <c r="K7" s="196">
        <v>324.0</v>
      </c>
      <c r="L7" s="196">
        <v>324.0</v>
      </c>
      <c r="M7" s="196">
        <v>324.0</v>
      </c>
      <c r="N7" s="196">
        <v>324.0</v>
      </c>
      <c r="O7" s="198">
        <v>17600.0</v>
      </c>
    </row>
    <row r="8" ht="15.75" customHeight="1">
      <c r="A8" s="196" t="s">
        <v>709</v>
      </c>
      <c r="B8" s="196" t="s">
        <v>223</v>
      </c>
      <c r="C8" s="196">
        <v>229.0</v>
      </c>
      <c r="D8" s="196">
        <v>229.0</v>
      </c>
      <c r="E8" s="196">
        <v>229.0</v>
      </c>
      <c r="F8" s="196">
        <v>249.0</v>
      </c>
      <c r="G8" s="196">
        <v>249.0</v>
      </c>
      <c r="H8" s="196">
        <v>230.0</v>
      </c>
      <c r="I8" s="196">
        <v>230.0</v>
      </c>
      <c r="J8" s="196">
        <v>229.0</v>
      </c>
      <c r="K8" s="196">
        <v>229.0</v>
      </c>
      <c r="L8" s="196">
        <v>230.0</v>
      </c>
      <c r="M8" s="196">
        <v>230.0</v>
      </c>
      <c r="N8" s="196">
        <v>230.0</v>
      </c>
      <c r="O8" s="198" t="s">
        <v>223</v>
      </c>
    </row>
    <row r="9" ht="15.75" customHeight="1">
      <c r="A9" s="196" t="s">
        <v>710</v>
      </c>
      <c r="B9" s="196" t="s">
        <v>223</v>
      </c>
      <c r="C9" s="196">
        <v>0.0</v>
      </c>
      <c r="D9" s="196">
        <v>0.0</v>
      </c>
      <c r="E9" s="196">
        <v>0.0</v>
      </c>
      <c r="F9" s="196">
        <v>0.0</v>
      </c>
      <c r="G9" s="196">
        <v>0.0</v>
      </c>
      <c r="H9" s="196">
        <v>0.0</v>
      </c>
      <c r="I9" s="196">
        <v>0.0</v>
      </c>
      <c r="J9" s="196">
        <v>106.0</v>
      </c>
      <c r="K9" s="196">
        <v>106.0</v>
      </c>
      <c r="L9" s="196">
        <v>106.0</v>
      </c>
      <c r="M9" s="196">
        <v>106.0</v>
      </c>
      <c r="N9" s="196">
        <v>106.0</v>
      </c>
      <c r="O9" s="198" t="s">
        <v>223</v>
      </c>
    </row>
    <row r="10" ht="15.75" customHeight="1">
      <c r="A10" s="196" t="s">
        <v>774</v>
      </c>
      <c r="B10" s="196" t="s">
        <v>223</v>
      </c>
      <c r="C10" s="196">
        <v>0.0</v>
      </c>
      <c r="D10" s="196">
        <v>0.0</v>
      </c>
      <c r="E10" s="196">
        <v>71.0</v>
      </c>
      <c r="F10" s="196">
        <v>71.0</v>
      </c>
      <c r="G10" s="196">
        <v>71.0</v>
      </c>
      <c r="H10" s="196">
        <v>71.0</v>
      </c>
      <c r="I10" s="196">
        <v>71.0</v>
      </c>
      <c r="J10" s="196">
        <v>71.0</v>
      </c>
      <c r="K10" s="196">
        <v>71.0</v>
      </c>
      <c r="L10" s="196">
        <v>71.0</v>
      </c>
      <c r="M10" s="196">
        <v>71.0</v>
      </c>
      <c r="N10" s="196">
        <v>71.0</v>
      </c>
      <c r="O10" s="198" t="s">
        <v>223</v>
      </c>
    </row>
    <row r="11" ht="15.75" customHeight="1">
      <c r="A11" s="196" t="s">
        <v>546</v>
      </c>
      <c r="B11" s="196">
        <v>20923.0</v>
      </c>
      <c r="C11" s="196">
        <v>0.0</v>
      </c>
      <c r="D11" s="196">
        <v>0.0</v>
      </c>
      <c r="E11" s="196">
        <v>0.0</v>
      </c>
      <c r="F11" s="196">
        <v>0.0</v>
      </c>
      <c r="G11" s="196">
        <v>0.0</v>
      </c>
      <c r="H11" s="196">
        <v>0.0</v>
      </c>
      <c r="I11" s="196">
        <v>0.0</v>
      </c>
      <c r="J11" s="196">
        <v>0.0</v>
      </c>
      <c r="K11" s="196">
        <v>0.0</v>
      </c>
      <c r="L11" s="196">
        <v>0.0</v>
      </c>
      <c r="M11" s="196">
        <v>0.0</v>
      </c>
      <c r="N11" s="196">
        <v>0.0</v>
      </c>
      <c r="O11" s="198">
        <v>22597.0</v>
      </c>
    </row>
    <row r="12" ht="15.75" customHeight="1">
      <c r="A12" s="196" t="s">
        <v>711</v>
      </c>
      <c r="B12" s="196">
        <v>0.0</v>
      </c>
      <c r="C12" s="196">
        <v>0.0</v>
      </c>
      <c r="D12" s="196">
        <v>0.0</v>
      </c>
      <c r="E12" s="196">
        <v>0.0</v>
      </c>
      <c r="F12" s="196">
        <v>0.0</v>
      </c>
      <c r="G12" s="196">
        <v>0.0</v>
      </c>
      <c r="H12" s="196">
        <v>124.0</v>
      </c>
      <c r="I12" s="196">
        <v>0.0</v>
      </c>
      <c r="J12" s="196">
        <v>24.0</v>
      </c>
      <c r="K12" s="196">
        <v>1700.0</v>
      </c>
      <c r="L12" s="196">
        <v>1503.0</v>
      </c>
      <c r="M12" s="196">
        <v>0.0</v>
      </c>
      <c r="N12" s="196">
        <v>0.0</v>
      </c>
      <c r="O12" s="198">
        <v>6100.0</v>
      </c>
    </row>
    <row r="13" ht="15.75" customHeight="1">
      <c r="A13" s="196" t="s">
        <v>775</v>
      </c>
      <c r="B13" s="196">
        <v>0.0</v>
      </c>
      <c r="C13" s="196">
        <v>0.0</v>
      </c>
      <c r="D13" s="196">
        <v>100.0</v>
      </c>
      <c r="E13" s="196">
        <v>0.0</v>
      </c>
      <c r="F13" s="196">
        <v>0.0</v>
      </c>
      <c r="G13" s="196">
        <v>0.0</v>
      </c>
      <c r="H13" s="196">
        <v>0.0</v>
      </c>
      <c r="I13" s="196">
        <v>0.0</v>
      </c>
      <c r="J13" s="196">
        <v>250.0</v>
      </c>
      <c r="K13" s="196">
        <v>100.0</v>
      </c>
      <c r="L13" s="196">
        <v>100.0</v>
      </c>
      <c r="M13" s="196">
        <v>238.0</v>
      </c>
      <c r="N13" s="196">
        <v>0.0</v>
      </c>
      <c r="O13" s="198">
        <v>11000.0</v>
      </c>
    </row>
    <row r="14" ht="15.75" customHeight="1">
      <c r="A14" s="196" t="s">
        <v>776</v>
      </c>
      <c r="B14" s="196">
        <v>0.0</v>
      </c>
      <c r="C14" s="196">
        <v>0.0</v>
      </c>
      <c r="D14" s="196">
        <v>0.0</v>
      </c>
      <c r="E14" s="196">
        <v>0.0</v>
      </c>
      <c r="F14" s="196">
        <v>0.0</v>
      </c>
      <c r="G14" s="196">
        <v>0.0</v>
      </c>
      <c r="H14" s="196">
        <v>0.0</v>
      </c>
      <c r="I14" s="196">
        <v>0.0</v>
      </c>
      <c r="J14" s="196">
        <v>0.0</v>
      </c>
      <c r="K14" s="196">
        <v>0.0</v>
      </c>
      <c r="L14" s="196">
        <v>0.0</v>
      </c>
      <c r="M14" s="196">
        <v>0.0</v>
      </c>
      <c r="N14" s="196">
        <v>0.0</v>
      </c>
      <c r="O14" s="198">
        <v>0.0</v>
      </c>
    </row>
    <row r="15" ht="15.75" customHeight="1">
      <c r="A15" s="196" t="s">
        <v>777</v>
      </c>
      <c r="B15" s="196">
        <v>300.0</v>
      </c>
      <c r="C15" s="196">
        <v>500.0</v>
      </c>
      <c r="D15" s="196">
        <v>750.0</v>
      </c>
      <c r="E15" s="196">
        <v>1000.0</v>
      </c>
      <c r="F15" s="196">
        <v>500.0</v>
      </c>
      <c r="G15" s="196">
        <v>250.0</v>
      </c>
      <c r="H15" s="196">
        <v>500.0</v>
      </c>
      <c r="I15" s="196">
        <v>1880.0</v>
      </c>
      <c r="J15" s="196">
        <v>419.0</v>
      </c>
      <c r="K15" s="196">
        <v>0.0</v>
      </c>
      <c r="L15" s="196">
        <v>0.0</v>
      </c>
      <c r="M15" s="196">
        <v>2500.0</v>
      </c>
      <c r="N15" s="196">
        <v>2058.0</v>
      </c>
      <c r="O15" s="198">
        <v>9750.0</v>
      </c>
    </row>
    <row r="16" ht="15.75" customHeight="1">
      <c r="A16" s="196" t="s">
        <v>778</v>
      </c>
      <c r="B16" s="196">
        <v>0.0</v>
      </c>
      <c r="C16" s="196">
        <v>0.0</v>
      </c>
      <c r="D16" s="196">
        <v>0.0</v>
      </c>
      <c r="E16" s="196">
        <v>0.0</v>
      </c>
      <c r="F16" s="196">
        <v>0.0</v>
      </c>
      <c r="G16" s="196">
        <v>0.0</v>
      </c>
      <c r="H16" s="196">
        <v>0.0</v>
      </c>
      <c r="I16" s="196">
        <v>0.0</v>
      </c>
      <c r="J16" s="196">
        <v>0.0</v>
      </c>
      <c r="K16" s="196">
        <v>0.0</v>
      </c>
      <c r="L16" s="196">
        <v>0.0</v>
      </c>
      <c r="M16" s="196">
        <v>0.0</v>
      </c>
      <c r="N16" s="196">
        <v>0.0</v>
      </c>
      <c r="O16" s="198">
        <v>0.0</v>
      </c>
    </row>
    <row r="17" ht="15.75" customHeight="1">
      <c r="A17" s="196" t="s">
        <v>779</v>
      </c>
      <c r="B17" s="196">
        <v>0.0</v>
      </c>
      <c r="C17" s="196">
        <v>0.0</v>
      </c>
      <c r="D17" s="196">
        <v>0.0</v>
      </c>
      <c r="E17" s="196">
        <v>0.0</v>
      </c>
      <c r="F17" s="196">
        <v>0.0</v>
      </c>
      <c r="G17" s="196">
        <v>0.0</v>
      </c>
      <c r="H17" s="196">
        <v>0.0</v>
      </c>
      <c r="I17" s="196">
        <v>0.0</v>
      </c>
      <c r="J17" s="196">
        <v>0.0</v>
      </c>
      <c r="K17" s="196">
        <v>0.0</v>
      </c>
      <c r="L17" s="196">
        <v>0.0</v>
      </c>
      <c r="M17" s="196">
        <v>0.0</v>
      </c>
      <c r="N17" s="196">
        <v>0.0</v>
      </c>
      <c r="O17" s="198">
        <v>0.0</v>
      </c>
    </row>
    <row r="18" ht="15.75" customHeight="1">
      <c r="A18" s="196" t="s">
        <v>780</v>
      </c>
      <c r="B18" s="196">
        <v>0.0</v>
      </c>
      <c r="C18" s="196">
        <v>101.0</v>
      </c>
      <c r="D18" s="196">
        <v>0.0</v>
      </c>
      <c r="E18" s="196">
        <v>150.0</v>
      </c>
      <c r="F18" s="196">
        <v>150.0</v>
      </c>
      <c r="G18" s="196">
        <v>200.0</v>
      </c>
      <c r="H18" s="196">
        <v>250.0</v>
      </c>
      <c r="I18" s="196">
        <v>250.0</v>
      </c>
      <c r="J18" s="196">
        <v>0.0</v>
      </c>
      <c r="K18" s="196">
        <v>0.0</v>
      </c>
      <c r="L18" s="196">
        <v>0.0</v>
      </c>
      <c r="M18" s="196">
        <v>0.0</v>
      </c>
      <c r="N18" s="196">
        <v>0.0</v>
      </c>
      <c r="O18" s="198">
        <v>15300.0</v>
      </c>
    </row>
    <row r="19" ht="15.75" customHeight="1">
      <c r="A19" s="196" t="s">
        <v>781</v>
      </c>
      <c r="B19" s="196">
        <v>0.0</v>
      </c>
      <c r="C19" s="196">
        <v>0.0</v>
      </c>
      <c r="D19" s="196">
        <v>0.0</v>
      </c>
      <c r="E19" s="196">
        <v>0.0</v>
      </c>
      <c r="F19" s="196">
        <v>0.0</v>
      </c>
      <c r="G19" s="196">
        <v>0.0</v>
      </c>
      <c r="H19" s="196">
        <v>0.0</v>
      </c>
      <c r="I19" s="196">
        <v>0.0</v>
      </c>
      <c r="J19" s="196">
        <v>0.0</v>
      </c>
      <c r="K19" s="196">
        <v>0.0</v>
      </c>
      <c r="L19" s="196">
        <v>0.0</v>
      </c>
      <c r="M19" s="196">
        <v>0.0</v>
      </c>
      <c r="N19" s="196">
        <v>0.0</v>
      </c>
      <c r="O19" s="198">
        <v>0.0</v>
      </c>
    </row>
    <row r="20" ht="15.75" customHeight="1">
      <c r="A20" s="196" t="s">
        <v>782</v>
      </c>
      <c r="B20" s="196">
        <v>0.0</v>
      </c>
      <c r="C20" s="196">
        <v>0.0</v>
      </c>
      <c r="D20" s="196">
        <v>0.0</v>
      </c>
      <c r="E20" s="196">
        <v>0.0</v>
      </c>
      <c r="F20" s="196">
        <v>0.0</v>
      </c>
      <c r="G20" s="196">
        <v>0.0</v>
      </c>
      <c r="H20" s="196">
        <v>0.0</v>
      </c>
      <c r="I20" s="196">
        <v>0.0</v>
      </c>
      <c r="J20" s="196">
        <v>0.0</v>
      </c>
      <c r="K20" s="196">
        <v>0.0</v>
      </c>
      <c r="L20" s="196">
        <v>0.0</v>
      </c>
      <c r="M20" s="196">
        <v>0.0</v>
      </c>
      <c r="N20" s="196">
        <v>0.0</v>
      </c>
      <c r="O20" s="198">
        <v>0.0</v>
      </c>
    </row>
    <row r="21" ht="15.75" customHeight="1">
      <c r="A21" s="196" t="s">
        <v>783</v>
      </c>
      <c r="B21" s="196">
        <v>0.0</v>
      </c>
      <c r="C21" s="196">
        <v>0.0</v>
      </c>
      <c r="D21" s="196">
        <v>0.0</v>
      </c>
      <c r="E21" s="196">
        <v>0.0</v>
      </c>
      <c r="F21" s="196">
        <v>0.0</v>
      </c>
      <c r="G21" s="196">
        <v>0.0</v>
      </c>
      <c r="H21" s="196">
        <v>0.0</v>
      </c>
      <c r="I21" s="196">
        <v>0.0</v>
      </c>
      <c r="J21" s="196">
        <v>0.0</v>
      </c>
      <c r="K21" s="196">
        <v>0.0</v>
      </c>
      <c r="L21" s="196">
        <v>0.0</v>
      </c>
      <c r="M21" s="196">
        <v>0.0</v>
      </c>
      <c r="N21" s="196">
        <v>0.0</v>
      </c>
      <c r="O21" s="198"/>
    </row>
    <row r="22" ht="15.75" customHeight="1">
      <c r="A22" s="196" t="s">
        <v>713</v>
      </c>
      <c r="B22" s="196">
        <v>3030.0</v>
      </c>
      <c r="C22" s="196">
        <v>775.0</v>
      </c>
      <c r="D22" s="196">
        <v>8500.0</v>
      </c>
      <c r="E22" s="196">
        <v>350.0</v>
      </c>
      <c r="F22" s="196">
        <v>300.0</v>
      </c>
      <c r="G22" s="196">
        <v>66.0</v>
      </c>
      <c r="H22" s="196">
        <v>356.0</v>
      </c>
      <c r="I22" s="196">
        <v>0.0</v>
      </c>
      <c r="J22" s="196">
        <v>69.0</v>
      </c>
      <c r="K22" s="196">
        <v>0.0</v>
      </c>
      <c r="L22" s="196">
        <v>0.0</v>
      </c>
      <c r="M22" s="196">
        <v>46.0</v>
      </c>
      <c r="N22" s="196">
        <v>0.0</v>
      </c>
      <c r="O22" s="198">
        <v>5500.0</v>
      </c>
    </row>
    <row r="23" ht="15.75" customHeight="1">
      <c r="A23" s="196" t="s">
        <v>784</v>
      </c>
      <c r="B23" s="196">
        <v>0.0</v>
      </c>
      <c r="C23" s="196">
        <v>0.0</v>
      </c>
      <c r="D23" s="196">
        <v>0.0</v>
      </c>
      <c r="E23" s="196">
        <v>0.0</v>
      </c>
      <c r="F23" s="196">
        <v>0.0</v>
      </c>
      <c r="G23" s="196">
        <v>0.0</v>
      </c>
      <c r="H23" s="196">
        <v>0.0</v>
      </c>
      <c r="I23" s="196">
        <v>0.0</v>
      </c>
      <c r="J23" s="196">
        <v>0.0</v>
      </c>
      <c r="K23" s="196">
        <v>0.0</v>
      </c>
      <c r="L23" s="196">
        <v>0.0</v>
      </c>
      <c r="M23" s="196">
        <v>0.0</v>
      </c>
      <c r="N23" s="196">
        <v>0.0</v>
      </c>
      <c r="O23" s="198">
        <v>0.0</v>
      </c>
    </row>
    <row r="24" ht="15.75" customHeight="1">
      <c r="A24" s="196" t="s">
        <v>785</v>
      </c>
      <c r="B24" s="196">
        <v>0.0</v>
      </c>
      <c r="C24" s="196">
        <v>0.0</v>
      </c>
      <c r="D24" s="196">
        <v>0.0</v>
      </c>
      <c r="E24" s="196">
        <v>0.0</v>
      </c>
      <c r="F24" s="196">
        <v>0.0</v>
      </c>
      <c r="G24" s="196">
        <v>0.0</v>
      </c>
      <c r="H24" s="196">
        <v>0.0</v>
      </c>
      <c r="I24" s="196">
        <v>0.0</v>
      </c>
      <c r="J24" s="196">
        <v>0.0</v>
      </c>
      <c r="K24" s="196">
        <v>0.0</v>
      </c>
      <c r="L24" s="196">
        <v>0.0</v>
      </c>
      <c r="M24" s="196">
        <v>0.0</v>
      </c>
      <c r="N24" s="196">
        <v>0.0</v>
      </c>
      <c r="O24" s="198">
        <v>0.0</v>
      </c>
    </row>
    <row r="25" ht="15.75" customHeight="1">
      <c r="A25" s="196" t="s">
        <v>786</v>
      </c>
      <c r="B25" s="196">
        <v>0.0</v>
      </c>
      <c r="C25" s="196">
        <v>0.0</v>
      </c>
      <c r="D25" s="196">
        <v>0.0</v>
      </c>
      <c r="E25" s="196">
        <v>0.0</v>
      </c>
      <c r="F25" s="196">
        <v>140.0</v>
      </c>
      <c r="G25" s="196">
        <v>0.0</v>
      </c>
      <c r="H25" s="196">
        <v>70.0</v>
      </c>
      <c r="I25" s="196">
        <v>86.0</v>
      </c>
      <c r="J25" s="196">
        <v>0.0</v>
      </c>
      <c r="K25" s="196">
        <v>0.0</v>
      </c>
      <c r="L25" s="196">
        <v>0.0</v>
      </c>
      <c r="M25" s="196">
        <v>0.0</v>
      </c>
      <c r="N25" s="196">
        <v>0.0</v>
      </c>
      <c r="O25" s="198">
        <v>1140.0</v>
      </c>
    </row>
    <row r="26" ht="15.75" customHeight="1">
      <c r="A26" s="196" t="s">
        <v>714</v>
      </c>
      <c r="B26" s="196">
        <v>0.0</v>
      </c>
      <c r="C26" s="196">
        <v>0.0</v>
      </c>
      <c r="D26" s="196">
        <v>0.0</v>
      </c>
      <c r="E26" s="196">
        <v>0.0</v>
      </c>
      <c r="F26" s="196">
        <v>99.0</v>
      </c>
      <c r="G26" s="196">
        <v>0.0</v>
      </c>
      <c r="H26" s="196">
        <v>0.0</v>
      </c>
      <c r="I26" s="196">
        <v>0.0</v>
      </c>
      <c r="J26" s="196">
        <v>0.0</v>
      </c>
      <c r="K26" s="196">
        <v>0.0</v>
      </c>
      <c r="L26" s="196">
        <v>0.0</v>
      </c>
      <c r="M26" s="196">
        <v>0.0</v>
      </c>
      <c r="N26" s="196">
        <v>0.0</v>
      </c>
      <c r="O26" s="198">
        <v>99.0</v>
      </c>
    </row>
    <row r="27" ht="15.75" customHeight="1">
      <c r="A27" s="196" t="s">
        <v>715</v>
      </c>
      <c r="B27" s="196">
        <v>22650.0</v>
      </c>
      <c r="C27" s="196">
        <v>0.0</v>
      </c>
      <c r="D27" s="196">
        <v>0.0</v>
      </c>
      <c r="E27" s="196">
        <v>0.0</v>
      </c>
      <c r="F27" s="196">
        <v>0.0</v>
      </c>
      <c r="G27" s="196">
        <v>0.0</v>
      </c>
      <c r="H27" s="196">
        <v>0.0</v>
      </c>
      <c r="I27" s="196">
        <v>0.0</v>
      </c>
      <c r="J27" s="196">
        <v>0.0</v>
      </c>
      <c r="K27" s="196">
        <v>0.0</v>
      </c>
      <c r="L27" s="196">
        <v>0.0</v>
      </c>
      <c r="M27" s="196">
        <v>175.0</v>
      </c>
      <c r="N27" s="196">
        <v>350.0</v>
      </c>
      <c r="O27" s="198">
        <v>0.0</v>
      </c>
    </row>
    <row r="28" ht="15.75" customHeight="1">
      <c r="A28" s="196" t="s">
        <v>787</v>
      </c>
      <c r="B28" s="196">
        <v>0.0</v>
      </c>
      <c r="C28" s="196">
        <v>17.0</v>
      </c>
      <c r="D28" s="196">
        <v>0.0</v>
      </c>
      <c r="E28" s="196">
        <v>0.0</v>
      </c>
      <c r="F28" s="196">
        <v>0.0</v>
      </c>
      <c r="G28" s="196">
        <v>0.0</v>
      </c>
      <c r="H28" s="196">
        <v>0.0</v>
      </c>
      <c r="I28" s="196">
        <v>0.0</v>
      </c>
      <c r="J28" s="196">
        <v>0.0</v>
      </c>
      <c r="K28" s="196">
        <v>0.0</v>
      </c>
      <c r="L28" s="196">
        <v>0.0</v>
      </c>
      <c r="M28" s="196">
        <v>0.0</v>
      </c>
      <c r="N28" s="196">
        <v>0.0</v>
      </c>
      <c r="O28" s="198">
        <v>0.0</v>
      </c>
    </row>
    <row r="29" ht="15.75" customHeight="1">
      <c r="A29" s="196" t="s">
        <v>788</v>
      </c>
      <c r="B29" s="196">
        <v>0.0</v>
      </c>
      <c r="C29" s="196">
        <v>0.0</v>
      </c>
      <c r="D29" s="196">
        <v>0.0</v>
      </c>
      <c r="E29" s="196">
        <v>0.0</v>
      </c>
      <c r="F29" s="196">
        <v>52.0</v>
      </c>
      <c r="G29" s="196">
        <v>0.0</v>
      </c>
      <c r="H29" s="196">
        <v>0.0</v>
      </c>
      <c r="I29" s="196">
        <v>0.0</v>
      </c>
      <c r="J29" s="196">
        <v>0.0</v>
      </c>
      <c r="K29" s="196">
        <v>0.0</v>
      </c>
      <c r="L29" s="196">
        <v>0.0</v>
      </c>
      <c r="M29" s="196">
        <v>0.0</v>
      </c>
      <c r="N29" s="196">
        <v>0.0</v>
      </c>
      <c r="O29" s="198">
        <v>0.0</v>
      </c>
    </row>
    <row r="30" ht="15.75" customHeight="1">
      <c r="A30" s="196" t="s">
        <v>789</v>
      </c>
      <c r="B30" s="196">
        <v>0.0</v>
      </c>
      <c r="C30" s="196">
        <v>52.0</v>
      </c>
      <c r="D30" s="196">
        <v>84.0</v>
      </c>
      <c r="E30" s="196">
        <v>51.0</v>
      </c>
      <c r="F30" s="196">
        <v>218.0</v>
      </c>
      <c r="G30" s="196">
        <v>69.0</v>
      </c>
      <c r="H30" s="196">
        <v>27.0</v>
      </c>
      <c r="I30" s="196">
        <v>65.0</v>
      </c>
      <c r="J30" s="196">
        <v>88.0</v>
      </c>
      <c r="K30" s="196">
        <v>108.0</v>
      </c>
      <c r="L30" s="196">
        <v>106.0</v>
      </c>
      <c r="M30" s="196">
        <v>96.0</v>
      </c>
      <c r="N30" s="196">
        <v>41.0</v>
      </c>
      <c r="O30" s="198">
        <v>0.0</v>
      </c>
    </row>
    <row r="31" ht="15.75" customHeight="1">
      <c r="A31" s="196" t="s">
        <v>790</v>
      </c>
      <c r="B31" s="196" t="s">
        <v>223</v>
      </c>
      <c r="C31" s="196">
        <v>490.0</v>
      </c>
      <c r="D31" s="196">
        <v>309.0</v>
      </c>
      <c r="E31" s="196">
        <v>250.0</v>
      </c>
      <c r="F31" s="196">
        <v>102.0</v>
      </c>
      <c r="G31" s="196">
        <v>1171.0</v>
      </c>
      <c r="H31" s="196">
        <v>800.0</v>
      </c>
      <c r="I31" s="196">
        <v>200.0</v>
      </c>
      <c r="J31" s="196">
        <v>236.0</v>
      </c>
      <c r="K31" s="196">
        <v>0.0</v>
      </c>
      <c r="L31" s="196">
        <v>150.0</v>
      </c>
      <c r="M31" s="196">
        <v>178.0</v>
      </c>
      <c r="N31" s="196">
        <v>425.0</v>
      </c>
      <c r="O31" s="198" t="s">
        <v>223</v>
      </c>
    </row>
    <row r="32" ht="15.75" customHeight="1">
      <c r="A32" s="196"/>
      <c r="B32" s="196"/>
      <c r="C32" s="197"/>
      <c r="D32" s="196"/>
      <c r="E32" s="197"/>
      <c r="F32" s="197"/>
      <c r="G32" s="197"/>
      <c r="H32" s="197"/>
      <c r="I32" s="197"/>
      <c r="J32" s="197"/>
      <c r="K32" s="197"/>
      <c r="L32" s="197"/>
      <c r="M32" s="197"/>
      <c r="N32" s="196"/>
      <c r="O32" s="198"/>
    </row>
    <row r="33" ht="15.75" customHeight="1">
      <c r="A33" s="196" t="s">
        <v>33</v>
      </c>
      <c r="B33" s="196">
        <f t="shared" ref="B33:O33" si="1">Sum(B3:B31)</f>
        <v>61703</v>
      </c>
      <c r="C33" s="196">
        <f t="shared" si="1"/>
        <v>3168</v>
      </c>
      <c r="D33" s="196">
        <f t="shared" si="1"/>
        <v>11176</v>
      </c>
      <c r="E33" s="196">
        <f t="shared" si="1"/>
        <v>3205</v>
      </c>
      <c r="F33" s="196">
        <f t="shared" si="1"/>
        <v>2885</v>
      </c>
      <c r="G33" s="196">
        <f t="shared" si="1"/>
        <v>3080</v>
      </c>
      <c r="H33" s="196">
        <f t="shared" si="1"/>
        <v>3432</v>
      </c>
      <c r="I33" s="196">
        <f t="shared" si="1"/>
        <v>3786</v>
      </c>
      <c r="J33" s="196">
        <f t="shared" si="1"/>
        <v>2761</v>
      </c>
      <c r="K33" s="196">
        <f t="shared" si="1"/>
        <v>3583</v>
      </c>
      <c r="L33" s="197">
        <f t="shared" si="1"/>
        <v>3466</v>
      </c>
      <c r="M33" s="196">
        <f t="shared" si="1"/>
        <v>4855</v>
      </c>
      <c r="N33" s="196">
        <f t="shared" si="1"/>
        <v>4508</v>
      </c>
      <c r="O33" s="198">
        <f t="shared" si="1"/>
        <v>329536</v>
      </c>
    </row>
    <row r="34" ht="15.75" customHeight="1">
      <c r="A34" s="184" t="s">
        <v>720</v>
      </c>
      <c r="B34" s="265"/>
      <c r="C34" s="265">
        <v>3275.0</v>
      </c>
      <c r="D34" s="265">
        <v>2747.0</v>
      </c>
      <c r="E34" s="265">
        <v>5450.0</v>
      </c>
      <c r="F34" s="265">
        <v>3720.0</v>
      </c>
      <c r="G34" s="265">
        <v>2700.0</v>
      </c>
      <c r="H34" s="265">
        <v>3875.0</v>
      </c>
      <c r="I34" s="265">
        <v>4087.0</v>
      </c>
      <c r="J34" s="265">
        <v>4250.0</v>
      </c>
      <c r="K34" s="265">
        <v>4400.0</v>
      </c>
      <c r="L34" s="265">
        <v>4000.0</v>
      </c>
      <c r="M34" s="167"/>
      <c r="N34" s="167"/>
      <c r="O34" s="37"/>
    </row>
    <row r="35" ht="15.75" customHeight="1">
      <c r="A35" s="191" t="s">
        <v>771</v>
      </c>
      <c r="B35" s="191" t="s">
        <v>223</v>
      </c>
      <c r="C35" s="191">
        <v>0.0</v>
      </c>
      <c r="D35" s="191">
        <v>0.0</v>
      </c>
      <c r="E35" s="191">
        <v>0.0</v>
      </c>
      <c r="F35" s="191">
        <v>0.0</v>
      </c>
      <c r="G35" s="191">
        <v>0.0</v>
      </c>
      <c r="H35" s="191">
        <v>0.0</v>
      </c>
      <c r="I35" s="191">
        <v>100.0</v>
      </c>
      <c r="J35" s="191">
        <v>31.0</v>
      </c>
      <c r="K35" s="191">
        <v>0.0</v>
      </c>
      <c r="L35" s="191">
        <v>0.0</v>
      </c>
      <c r="M35" s="191">
        <v>0.0</v>
      </c>
      <c r="N35" s="191">
        <v>27.0</v>
      </c>
      <c r="O35" s="325">
        <v>0.0</v>
      </c>
    </row>
    <row r="36" ht="15.75" customHeight="1">
      <c r="A36" s="191" t="s">
        <v>772</v>
      </c>
      <c r="B36" s="191">
        <f>B4</f>
        <v>0</v>
      </c>
      <c r="C36" s="191">
        <v>50.0</v>
      </c>
      <c r="D36" s="191">
        <v>50.0</v>
      </c>
      <c r="E36" s="191">
        <v>50.0</v>
      </c>
      <c r="F36" s="191">
        <v>50.0</v>
      </c>
      <c r="G36" s="191">
        <v>50.0</v>
      </c>
      <c r="H36" s="191">
        <v>50.0</v>
      </c>
      <c r="I36" s="191">
        <v>50.0</v>
      </c>
      <c r="J36" s="191">
        <v>50.0</v>
      </c>
      <c r="K36" s="191">
        <v>50.0</v>
      </c>
      <c r="L36" s="191">
        <v>50.0</v>
      </c>
      <c r="M36" s="191">
        <v>50.0</v>
      </c>
      <c r="N36" s="191">
        <v>50.0</v>
      </c>
      <c r="O36" s="325">
        <v>100.0</v>
      </c>
    </row>
    <row r="37" ht="15.75" customHeight="1">
      <c r="A37" s="191" t="s">
        <v>773</v>
      </c>
      <c r="B37" s="191" t="s">
        <v>223</v>
      </c>
      <c r="C37" s="191">
        <v>0.0</v>
      </c>
      <c r="D37" s="191">
        <v>0.0</v>
      </c>
      <c r="E37" s="191">
        <v>0.0</v>
      </c>
      <c r="F37" s="191">
        <v>0.0</v>
      </c>
      <c r="G37" s="191">
        <v>0.0</v>
      </c>
      <c r="H37" s="191">
        <v>0.0</v>
      </c>
      <c r="I37" s="191">
        <v>0.0</v>
      </c>
      <c r="J37" s="191">
        <v>204.0</v>
      </c>
      <c r="K37" s="191">
        <v>204.0</v>
      </c>
      <c r="L37" s="191">
        <v>204.0</v>
      </c>
      <c r="M37" s="191">
        <v>204.0</v>
      </c>
      <c r="N37" s="191">
        <v>204.0</v>
      </c>
      <c r="O37" s="325" t="s">
        <v>223</v>
      </c>
    </row>
    <row r="38" ht="15.75" customHeight="1">
      <c r="A38" s="191" t="s">
        <v>707</v>
      </c>
      <c r="B38" s="191">
        <v>0.0</v>
      </c>
      <c r="C38" s="191">
        <v>630.0</v>
      </c>
      <c r="D38" s="191">
        <v>630.0</v>
      </c>
      <c r="E38" s="191">
        <v>630.0</v>
      </c>
      <c r="F38" s="191">
        <v>630.0</v>
      </c>
      <c r="G38" s="191">
        <v>630.0</v>
      </c>
      <c r="H38" s="191">
        <v>630.0</v>
      </c>
      <c r="I38" s="191">
        <v>630.0</v>
      </c>
      <c r="J38" s="191">
        <v>630.0</v>
      </c>
      <c r="K38" s="191">
        <v>630.0</v>
      </c>
      <c r="L38" s="191">
        <v>630.0</v>
      </c>
      <c r="M38" s="191">
        <v>630.0</v>
      </c>
      <c r="N38" s="191">
        <v>630.0</v>
      </c>
      <c r="O38" s="325" t="s">
        <v>223</v>
      </c>
    </row>
    <row r="39" ht="15.75" customHeight="1">
      <c r="A39" s="191" t="s">
        <v>708</v>
      </c>
      <c r="B39" s="191">
        <f>B7</f>
        <v>14800</v>
      </c>
      <c r="C39" s="191">
        <v>0.0</v>
      </c>
      <c r="D39" s="191">
        <v>0.0</v>
      </c>
      <c r="E39" s="191">
        <v>0.0</v>
      </c>
      <c r="F39" s="191">
        <v>0.0</v>
      </c>
      <c r="G39" s="191">
        <v>0.0</v>
      </c>
      <c r="H39" s="191">
        <v>0.0</v>
      </c>
      <c r="I39" s="191">
        <v>0.0</v>
      </c>
      <c r="J39" s="191">
        <v>0.0</v>
      </c>
      <c r="K39" s="191">
        <v>0.0</v>
      </c>
      <c r="L39" s="191">
        <v>0.0</v>
      </c>
      <c r="M39" s="191">
        <v>0.0</v>
      </c>
      <c r="N39" s="191">
        <v>0.0</v>
      </c>
      <c r="O39" s="325">
        <v>0.0</v>
      </c>
    </row>
    <row r="40" ht="15.75" customHeight="1">
      <c r="A40" s="191" t="s">
        <v>709</v>
      </c>
      <c r="B40" s="191" t="s">
        <v>223</v>
      </c>
      <c r="C40" s="191">
        <v>0.0</v>
      </c>
      <c r="D40" s="191">
        <v>0.0</v>
      </c>
      <c r="E40" s="191">
        <v>0.0</v>
      </c>
      <c r="F40" s="191">
        <v>0.0</v>
      </c>
      <c r="G40" s="191">
        <v>0.0</v>
      </c>
      <c r="H40" s="191">
        <v>0.0</v>
      </c>
      <c r="I40" s="191">
        <v>0.0</v>
      </c>
      <c r="J40" s="191">
        <v>0.0</v>
      </c>
      <c r="K40" s="191">
        <v>0.0</v>
      </c>
      <c r="L40" s="191">
        <v>0.0</v>
      </c>
      <c r="M40" s="191">
        <v>0.0</v>
      </c>
      <c r="N40" s="191">
        <v>0.0</v>
      </c>
      <c r="O40" s="325" t="s">
        <v>223</v>
      </c>
    </row>
    <row r="41" ht="15.75" customHeight="1">
      <c r="A41" s="191" t="s">
        <v>721</v>
      </c>
      <c r="B41" s="191" t="s">
        <v>223</v>
      </c>
      <c r="C41" s="191">
        <v>146.0</v>
      </c>
      <c r="D41" s="191">
        <v>129.0</v>
      </c>
      <c r="E41" s="191">
        <v>134.0</v>
      </c>
      <c r="F41" s="191">
        <v>113.0</v>
      </c>
      <c r="G41" s="191">
        <v>111.0</v>
      </c>
      <c r="H41" s="191">
        <v>123.0</v>
      </c>
      <c r="I41" s="191">
        <v>136.0</v>
      </c>
      <c r="J41" s="191">
        <v>139.0</v>
      </c>
      <c r="K41" s="191">
        <v>142.0</v>
      </c>
      <c r="L41" s="191">
        <v>147.0</v>
      </c>
      <c r="M41" s="191">
        <v>103.0</v>
      </c>
      <c r="N41" s="191">
        <v>139.0</v>
      </c>
      <c r="O41" s="325"/>
    </row>
    <row r="42" ht="15.75" customHeight="1">
      <c r="A42" s="191" t="s">
        <v>722</v>
      </c>
      <c r="B42" s="191" t="s">
        <v>223</v>
      </c>
      <c r="C42" s="191">
        <v>55.0</v>
      </c>
      <c r="D42" s="191">
        <v>55.0</v>
      </c>
      <c r="E42" s="191">
        <v>55.0</v>
      </c>
      <c r="F42" s="191">
        <v>55.0</v>
      </c>
      <c r="G42" s="191">
        <v>55.0</v>
      </c>
      <c r="H42" s="191">
        <v>55.0</v>
      </c>
      <c r="I42" s="191">
        <v>102.0</v>
      </c>
      <c r="J42" s="191">
        <v>102.0</v>
      </c>
      <c r="K42" s="191">
        <v>102.0</v>
      </c>
      <c r="L42" s="191">
        <v>102.0</v>
      </c>
      <c r="M42" s="191">
        <v>102.0</v>
      </c>
      <c r="N42" s="191">
        <v>109.0</v>
      </c>
      <c r="O42" s="325"/>
    </row>
    <row r="43" ht="15.75" customHeight="1">
      <c r="A43" s="191" t="s">
        <v>546</v>
      </c>
      <c r="B43" s="191">
        <f t="shared" ref="B43:B44" si="2">B11</f>
        <v>20923</v>
      </c>
      <c r="C43" s="191">
        <v>0.0</v>
      </c>
      <c r="D43" s="191">
        <v>0.0</v>
      </c>
      <c r="E43" s="191">
        <v>2170.0</v>
      </c>
      <c r="F43" s="191">
        <v>0.0</v>
      </c>
      <c r="G43" s="191">
        <v>0.0</v>
      </c>
      <c r="H43" s="191">
        <v>0.0</v>
      </c>
      <c r="I43" s="191">
        <v>0.0</v>
      </c>
      <c r="J43" s="191">
        <v>205.0</v>
      </c>
      <c r="K43" s="191">
        <v>201.0</v>
      </c>
      <c r="L43" s="191">
        <v>201.0</v>
      </c>
      <c r="M43" s="191">
        <v>201.0</v>
      </c>
      <c r="N43" s="191">
        <v>201.0</v>
      </c>
      <c r="O43" s="325"/>
    </row>
    <row r="44" ht="15.75" customHeight="1">
      <c r="A44" s="191" t="s">
        <v>711</v>
      </c>
      <c r="B44" s="191">
        <f t="shared" si="2"/>
        <v>0</v>
      </c>
      <c r="C44" s="191">
        <v>0.0</v>
      </c>
      <c r="D44" s="191">
        <v>0.0</v>
      </c>
      <c r="E44" s="191">
        <v>0.0</v>
      </c>
      <c r="F44" s="191">
        <v>0.0</v>
      </c>
      <c r="G44" s="191">
        <v>95.0</v>
      </c>
      <c r="H44" s="191">
        <v>222.0</v>
      </c>
      <c r="I44" s="191">
        <v>130.0</v>
      </c>
      <c r="J44" s="191">
        <v>735.0</v>
      </c>
      <c r="K44" s="191">
        <v>2019.0</v>
      </c>
      <c r="L44" s="191">
        <v>0.0</v>
      </c>
      <c r="M44" s="191">
        <v>0.0</v>
      </c>
      <c r="N44" s="191">
        <v>0.0</v>
      </c>
      <c r="O44" s="325"/>
    </row>
    <row r="45" ht="15.75" customHeight="1">
      <c r="A45" s="191" t="s">
        <v>775</v>
      </c>
      <c r="B45" s="191">
        <v>0.0</v>
      </c>
      <c r="C45" s="191">
        <v>150.0</v>
      </c>
      <c r="D45" s="191">
        <v>250.0</v>
      </c>
      <c r="E45" s="191">
        <v>250.0</v>
      </c>
      <c r="F45" s="191">
        <v>250.0</v>
      </c>
      <c r="G45" s="191">
        <v>250.0</v>
      </c>
      <c r="H45" s="191">
        <v>250.0</v>
      </c>
      <c r="I45" s="191">
        <v>250.0</v>
      </c>
      <c r="J45" s="191">
        <v>0.0</v>
      </c>
      <c r="K45" s="191">
        <v>0.0</v>
      </c>
      <c r="L45" s="191">
        <v>0.0</v>
      </c>
      <c r="M45" s="191">
        <v>0.0</v>
      </c>
      <c r="N45" s="191">
        <v>0.0</v>
      </c>
      <c r="O45" s="325">
        <v>0.0</v>
      </c>
    </row>
    <row r="46" ht="15.75" customHeight="1">
      <c r="A46" s="191" t="s">
        <v>777</v>
      </c>
      <c r="B46" s="191">
        <f t="shared" ref="B46:B47" si="3">B15</f>
        <v>300</v>
      </c>
      <c r="C46" s="191">
        <v>1000.0</v>
      </c>
      <c r="D46" s="191">
        <v>6500.0</v>
      </c>
      <c r="E46" s="191">
        <v>750.0</v>
      </c>
      <c r="F46" s="191">
        <v>500.0</v>
      </c>
      <c r="G46" s="191">
        <v>274.0</v>
      </c>
      <c r="H46" s="191">
        <v>0.0</v>
      </c>
      <c r="I46" s="191">
        <v>490.0</v>
      </c>
      <c r="J46" s="191">
        <v>866.0</v>
      </c>
      <c r="K46" s="191">
        <v>152.0</v>
      </c>
      <c r="L46" s="191">
        <v>1987.0</v>
      </c>
      <c r="M46" s="191">
        <v>2250.0</v>
      </c>
      <c r="N46" s="191">
        <v>250.0</v>
      </c>
      <c r="O46" s="325">
        <v>0.0</v>
      </c>
    </row>
    <row r="47" ht="15.75" customHeight="1">
      <c r="A47" s="191" t="s">
        <v>778</v>
      </c>
      <c r="B47" s="191">
        <f t="shared" si="3"/>
        <v>0</v>
      </c>
      <c r="C47" s="191">
        <v>11.0</v>
      </c>
      <c r="D47" s="191">
        <v>475.0</v>
      </c>
      <c r="E47" s="191">
        <v>0.0</v>
      </c>
      <c r="F47" s="191">
        <v>0.0</v>
      </c>
      <c r="G47" s="191">
        <v>0.0</v>
      </c>
      <c r="H47" s="191">
        <v>0.0</v>
      </c>
      <c r="I47" s="191">
        <v>0.0</v>
      </c>
      <c r="J47" s="191">
        <v>0.0</v>
      </c>
      <c r="K47" s="191">
        <v>0.0</v>
      </c>
      <c r="L47" s="191">
        <v>0.0</v>
      </c>
      <c r="M47" s="191">
        <v>0.0</v>
      </c>
      <c r="N47" s="191">
        <v>0.0</v>
      </c>
      <c r="O47" s="325">
        <v>0.0</v>
      </c>
    </row>
    <row r="48" ht="15.75" customHeight="1">
      <c r="A48" s="191" t="s">
        <v>779</v>
      </c>
      <c r="B48" s="191">
        <v>0.0</v>
      </c>
      <c r="C48" s="191">
        <v>0.0</v>
      </c>
      <c r="D48" s="191">
        <v>0.0</v>
      </c>
      <c r="E48" s="191">
        <v>0.0</v>
      </c>
      <c r="F48" s="191">
        <v>0.0</v>
      </c>
      <c r="G48" s="191">
        <v>0.0</v>
      </c>
      <c r="H48" s="191">
        <v>0.0</v>
      </c>
      <c r="I48" s="191">
        <v>0.0</v>
      </c>
      <c r="J48" s="191">
        <v>0.0</v>
      </c>
      <c r="K48" s="191">
        <v>0.0</v>
      </c>
      <c r="L48" s="191">
        <v>0.0</v>
      </c>
      <c r="M48" s="191">
        <v>0.0</v>
      </c>
      <c r="N48" s="191">
        <v>0.0</v>
      </c>
      <c r="O48" s="325">
        <v>0.0</v>
      </c>
    </row>
    <row r="49" ht="15.75" customHeight="1">
      <c r="A49" s="191" t="s">
        <v>780</v>
      </c>
      <c r="B49" s="191">
        <f>B18</f>
        <v>0</v>
      </c>
      <c r="C49" s="191">
        <v>0.0</v>
      </c>
      <c r="D49" s="191">
        <v>300.0</v>
      </c>
      <c r="E49" s="191">
        <v>0.0</v>
      </c>
      <c r="F49" s="191">
        <v>0.0</v>
      </c>
      <c r="G49" s="191">
        <v>0.0</v>
      </c>
      <c r="H49" s="191">
        <v>0.0</v>
      </c>
      <c r="I49" s="191">
        <v>0.0</v>
      </c>
      <c r="J49" s="191">
        <v>200.0</v>
      </c>
      <c r="K49" s="191">
        <v>150.0</v>
      </c>
      <c r="L49" s="191">
        <v>150.0</v>
      </c>
      <c r="M49" s="191">
        <v>0.0</v>
      </c>
      <c r="N49" s="191">
        <v>0.0</v>
      </c>
      <c r="O49" s="325"/>
    </row>
    <row r="50" ht="15.75" customHeight="1">
      <c r="A50" s="191" t="s">
        <v>781</v>
      </c>
      <c r="B50" s="191">
        <v>0.0</v>
      </c>
      <c r="C50" s="191">
        <v>0.0</v>
      </c>
      <c r="D50" s="191">
        <v>0.0</v>
      </c>
      <c r="E50" s="191">
        <v>0.0</v>
      </c>
      <c r="F50" s="191">
        <v>0.0</v>
      </c>
      <c r="G50" s="191">
        <v>0.0</v>
      </c>
      <c r="H50" s="191">
        <v>0.0</v>
      </c>
      <c r="I50" s="191">
        <v>0.0</v>
      </c>
      <c r="J50" s="191">
        <v>0.0</v>
      </c>
      <c r="K50" s="191">
        <v>0.0</v>
      </c>
      <c r="L50" s="191">
        <v>0.0</v>
      </c>
      <c r="M50" s="191">
        <v>0.0</v>
      </c>
      <c r="N50" s="191">
        <v>0.0</v>
      </c>
      <c r="O50" s="325"/>
    </row>
    <row r="51" ht="15.75" customHeight="1">
      <c r="A51" s="191" t="s">
        <v>782</v>
      </c>
      <c r="B51" s="191">
        <v>0.0</v>
      </c>
      <c r="C51" s="191">
        <v>0.0</v>
      </c>
      <c r="D51" s="191">
        <v>0.0</v>
      </c>
      <c r="E51" s="191">
        <v>0.0</v>
      </c>
      <c r="F51" s="191">
        <v>0.0</v>
      </c>
      <c r="G51" s="191">
        <v>0.0</v>
      </c>
      <c r="H51" s="191">
        <v>0.0</v>
      </c>
      <c r="I51" s="191">
        <v>0.0</v>
      </c>
      <c r="J51" s="191">
        <v>0.0</v>
      </c>
      <c r="K51" s="191">
        <v>0.0</v>
      </c>
      <c r="L51" s="191">
        <v>0.0</v>
      </c>
      <c r="M51" s="191">
        <v>0.0</v>
      </c>
      <c r="N51" s="191">
        <v>0.0</v>
      </c>
      <c r="O51" s="325"/>
    </row>
    <row r="52" ht="15.75" customHeight="1">
      <c r="A52" s="191" t="s">
        <v>791</v>
      </c>
      <c r="B52" s="191">
        <f t="shared" ref="B52:B53" si="4">B21</f>
        <v>0</v>
      </c>
      <c r="C52" s="191">
        <v>0.0</v>
      </c>
      <c r="D52" s="191">
        <v>0.0</v>
      </c>
      <c r="E52" s="191">
        <v>0.0</v>
      </c>
      <c r="F52" s="191">
        <v>0.0</v>
      </c>
      <c r="G52" s="191">
        <v>0.0</v>
      </c>
      <c r="H52" s="191">
        <v>0.0</v>
      </c>
      <c r="I52" s="191">
        <v>0.0</v>
      </c>
      <c r="J52" s="191">
        <v>0.0</v>
      </c>
      <c r="K52" s="191">
        <v>0.0</v>
      </c>
      <c r="L52" s="191">
        <v>0.0</v>
      </c>
      <c r="M52" s="191">
        <v>0.0</v>
      </c>
      <c r="N52" s="191">
        <v>0.0</v>
      </c>
      <c r="O52" s="325"/>
    </row>
    <row r="53" ht="15.75" customHeight="1">
      <c r="A53" s="191" t="s">
        <v>713</v>
      </c>
      <c r="B53" s="191">
        <f t="shared" si="4"/>
        <v>3030</v>
      </c>
      <c r="C53" s="191">
        <v>410.0</v>
      </c>
      <c r="D53" s="191">
        <v>300.0</v>
      </c>
      <c r="E53" s="191">
        <v>386.0</v>
      </c>
      <c r="F53" s="191">
        <v>546.0</v>
      </c>
      <c r="G53" s="191">
        <v>241.0</v>
      </c>
      <c r="H53" s="191">
        <v>0.0</v>
      </c>
      <c r="I53" s="191">
        <v>0.0</v>
      </c>
      <c r="J53" s="191">
        <v>587.0</v>
      </c>
      <c r="K53" s="191">
        <v>35.0</v>
      </c>
      <c r="L53" s="191">
        <v>38.0</v>
      </c>
      <c r="M53" s="191">
        <v>0.0</v>
      </c>
      <c r="N53" s="191">
        <v>2000.0</v>
      </c>
      <c r="O53" s="325">
        <v>0.0</v>
      </c>
    </row>
    <row r="54" ht="15.75" customHeight="1">
      <c r="A54" s="191" t="s">
        <v>784</v>
      </c>
      <c r="B54" s="191">
        <v>0.0</v>
      </c>
      <c r="C54" s="191">
        <v>0.0</v>
      </c>
      <c r="D54" s="191">
        <v>0.0</v>
      </c>
      <c r="E54" s="191">
        <v>0.0</v>
      </c>
      <c r="F54" s="191">
        <v>0.0</v>
      </c>
      <c r="G54" s="191">
        <v>0.0</v>
      </c>
      <c r="H54" s="191">
        <v>0.0</v>
      </c>
      <c r="I54" s="191">
        <v>0.0</v>
      </c>
      <c r="J54" s="191">
        <v>0.0</v>
      </c>
      <c r="K54" s="191">
        <v>0.0</v>
      </c>
      <c r="L54" s="191">
        <v>0.0</v>
      </c>
      <c r="M54" s="191">
        <v>0.0</v>
      </c>
      <c r="N54" s="191">
        <v>0.0</v>
      </c>
      <c r="O54" s="325"/>
    </row>
    <row r="55" ht="15.75" customHeight="1">
      <c r="A55" s="191" t="s">
        <v>792</v>
      </c>
      <c r="B55" s="191">
        <v>0.0</v>
      </c>
      <c r="C55" s="191">
        <v>0.0</v>
      </c>
      <c r="D55" s="191">
        <v>0.0</v>
      </c>
      <c r="E55" s="191">
        <v>0.0</v>
      </c>
      <c r="F55" s="191">
        <v>0.0</v>
      </c>
      <c r="G55" s="191">
        <v>0.0</v>
      </c>
      <c r="H55" s="191">
        <v>0.0</v>
      </c>
      <c r="I55" s="191">
        <v>0.0</v>
      </c>
      <c r="J55" s="191">
        <v>0.0</v>
      </c>
      <c r="K55" s="191">
        <v>0.0</v>
      </c>
      <c r="L55" s="191">
        <v>0.0</v>
      </c>
      <c r="M55" s="191">
        <v>0.0</v>
      </c>
      <c r="N55" s="191">
        <v>0.0</v>
      </c>
      <c r="O55" s="325"/>
    </row>
    <row r="56" ht="15.75" customHeight="1">
      <c r="A56" s="191" t="s">
        <v>793</v>
      </c>
      <c r="B56" s="191">
        <v>0.0</v>
      </c>
      <c r="C56" s="191">
        <v>0.0</v>
      </c>
      <c r="D56" s="191">
        <v>0.0</v>
      </c>
      <c r="E56" s="191">
        <v>0.0</v>
      </c>
      <c r="F56" s="191">
        <v>475.0</v>
      </c>
      <c r="G56" s="191">
        <v>207.0</v>
      </c>
      <c r="H56" s="191">
        <v>1626.0</v>
      </c>
      <c r="I56" s="191">
        <v>0.0</v>
      </c>
      <c r="J56" s="191">
        <v>0.0</v>
      </c>
      <c r="K56" s="191">
        <v>0.0</v>
      </c>
      <c r="L56" s="191">
        <v>0.0</v>
      </c>
      <c r="M56" s="191">
        <v>0.0</v>
      </c>
      <c r="N56" s="191">
        <v>0.0</v>
      </c>
      <c r="O56" s="325"/>
    </row>
    <row r="57" ht="15.75" customHeight="1">
      <c r="A57" s="191" t="s">
        <v>723</v>
      </c>
      <c r="B57" s="191">
        <v>0.0</v>
      </c>
      <c r="C57" s="191">
        <v>0.0</v>
      </c>
      <c r="D57" s="191">
        <v>0.0</v>
      </c>
      <c r="E57" s="191">
        <v>0.0</v>
      </c>
      <c r="F57" s="191">
        <v>0.0</v>
      </c>
      <c r="G57" s="191">
        <v>0.0</v>
      </c>
      <c r="H57" s="191">
        <v>0.0</v>
      </c>
      <c r="I57" s="191">
        <v>0.0</v>
      </c>
      <c r="J57" s="191">
        <v>0.0</v>
      </c>
      <c r="K57" s="191">
        <v>0.0</v>
      </c>
      <c r="L57" s="191">
        <v>0.0</v>
      </c>
      <c r="M57" s="191">
        <v>0.0</v>
      </c>
      <c r="N57" s="191">
        <v>0.0</v>
      </c>
      <c r="O57" s="325"/>
    </row>
    <row r="58" ht="15.75" customHeight="1">
      <c r="A58" s="191" t="s">
        <v>715</v>
      </c>
      <c r="B58" s="191">
        <f>B27</f>
        <v>22650</v>
      </c>
      <c r="C58" s="191">
        <v>0.0</v>
      </c>
      <c r="D58" s="191">
        <v>0.0</v>
      </c>
      <c r="E58" s="191">
        <v>0.0</v>
      </c>
      <c r="F58" s="191">
        <v>0.0</v>
      </c>
      <c r="G58" s="191">
        <v>0.0</v>
      </c>
      <c r="H58" s="191">
        <v>0.0</v>
      </c>
      <c r="I58" s="191">
        <v>0.0</v>
      </c>
      <c r="J58" s="191">
        <v>0.0</v>
      </c>
      <c r="K58" s="191">
        <v>0.0</v>
      </c>
      <c r="L58" s="191">
        <v>0.0</v>
      </c>
      <c r="M58" s="191">
        <v>0.0</v>
      </c>
      <c r="N58" s="191">
        <v>0.0</v>
      </c>
      <c r="O58" s="325"/>
    </row>
    <row r="59" ht="15.75" customHeight="1">
      <c r="A59" s="191" t="s">
        <v>787</v>
      </c>
      <c r="B59" s="191">
        <v>0.0</v>
      </c>
      <c r="C59" s="191">
        <v>0.0</v>
      </c>
      <c r="D59" s="191">
        <v>0.0</v>
      </c>
      <c r="E59" s="191">
        <v>0.0</v>
      </c>
      <c r="F59" s="191">
        <v>0.0</v>
      </c>
      <c r="G59" s="191">
        <v>0.0</v>
      </c>
      <c r="H59" s="191">
        <v>0.0</v>
      </c>
      <c r="I59" s="191">
        <v>0.0</v>
      </c>
      <c r="J59" s="191">
        <v>0.0</v>
      </c>
      <c r="K59" s="191">
        <v>0.0</v>
      </c>
      <c r="L59" s="191">
        <v>0.0</v>
      </c>
      <c r="M59" s="191">
        <v>0.0</v>
      </c>
      <c r="N59" s="191">
        <v>0.0</v>
      </c>
      <c r="O59" s="325">
        <v>0.0</v>
      </c>
    </row>
    <row r="60" ht="15.75" customHeight="1">
      <c r="A60" s="191" t="s">
        <v>788</v>
      </c>
      <c r="B60" s="191">
        <v>0.0</v>
      </c>
      <c r="C60" s="191">
        <v>1.0</v>
      </c>
      <c r="D60" s="191">
        <v>0.0</v>
      </c>
      <c r="E60" s="191">
        <v>0.0</v>
      </c>
      <c r="F60" s="191">
        <v>0.0</v>
      </c>
      <c r="G60" s="191">
        <v>0.0</v>
      </c>
      <c r="H60" s="191">
        <v>0.0</v>
      </c>
      <c r="I60" s="191">
        <v>0.0</v>
      </c>
      <c r="J60" s="191">
        <v>0.0</v>
      </c>
      <c r="K60" s="191">
        <v>0.0</v>
      </c>
      <c r="L60" s="191">
        <v>0.0</v>
      </c>
      <c r="M60" s="191">
        <v>0.0</v>
      </c>
      <c r="N60" s="191">
        <v>0.0</v>
      </c>
      <c r="O60" s="325">
        <v>0.0</v>
      </c>
    </row>
    <row r="61" ht="15.75" customHeight="1">
      <c r="A61" s="191" t="s">
        <v>789</v>
      </c>
      <c r="B61" s="191">
        <v>0.0</v>
      </c>
      <c r="C61" s="191">
        <v>183.0</v>
      </c>
      <c r="D61" s="191">
        <v>0.0</v>
      </c>
      <c r="E61" s="191">
        <v>51.0</v>
      </c>
      <c r="F61" s="191">
        <v>132.0</v>
      </c>
      <c r="G61" s="191">
        <v>37.0</v>
      </c>
      <c r="H61" s="191">
        <v>101.0</v>
      </c>
      <c r="I61" s="191">
        <v>40.0</v>
      </c>
      <c r="J61" s="191">
        <v>46.0</v>
      </c>
      <c r="K61" s="191">
        <v>69.0</v>
      </c>
      <c r="L61" s="191">
        <v>60.0</v>
      </c>
      <c r="M61" s="191">
        <v>0.0</v>
      </c>
      <c r="N61" s="191">
        <v>50.0</v>
      </c>
      <c r="O61" s="325">
        <v>0.0</v>
      </c>
    </row>
    <row r="62" ht="15.75" customHeight="1">
      <c r="A62" s="191" t="s">
        <v>790</v>
      </c>
      <c r="B62" s="191" t="s">
        <v>223</v>
      </c>
      <c r="C62" s="191">
        <v>73.0</v>
      </c>
      <c r="D62" s="191">
        <v>103.0</v>
      </c>
      <c r="E62" s="191">
        <v>73.0</v>
      </c>
      <c r="F62" s="191">
        <v>99.0</v>
      </c>
      <c r="G62" s="191">
        <v>823.0</v>
      </c>
      <c r="H62" s="191">
        <v>73.0</v>
      </c>
      <c r="I62" s="191">
        <v>413.0</v>
      </c>
      <c r="J62" s="192">
        <v>450.0</v>
      </c>
      <c r="K62" s="191">
        <v>233.0</v>
      </c>
      <c r="L62" s="191">
        <v>273.0</v>
      </c>
      <c r="M62" s="192">
        <v>275.0</v>
      </c>
      <c r="N62" s="191">
        <v>175.0</v>
      </c>
      <c r="O62" s="325" t="s">
        <v>223</v>
      </c>
    </row>
    <row r="63" ht="15.75" customHeight="1">
      <c r="A63" s="191"/>
      <c r="B63" s="191"/>
      <c r="C63" s="192"/>
      <c r="D63" s="191"/>
      <c r="E63" s="192"/>
      <c r="F63" s="192"/>
      <c r="G63" s="192"/>
      <c r="H63" s="192"/>
      <c r="I63" s="192"/>
      <c r="J63" s="192"/>
      <c r="K63" s="192"/>
      <c r="L63" s="192"/>
      <c r="M63" s="192"/>
      <c r="N63" s="192"/>
      <c r="O63" s="325"/>
    </row>
    <row r="64" ht="15.75" customHeight="1">
      <c r="A64" s="191" t="s">
        <v>33</v>
      </c>
      <c r="B64" s="191">
        <f t="shared" ref="B64:N64" si="5">Sum(B35:B62)</f>
        <v>61703</v>
      </c>
      <c r="C64" s="191">
        <f t="shared" si="5"/>
        <v>2709</v>
      </c>
      <c r="D64" s="191">
        <f t="shared" si="5"/>
        <v>8792</v>
      </c>
      <c r="E64" s="191">
        <f t="shared" si="5"/>
        <v>4549</v>
      </c>
      <c r="F64" s="191">
        <f t="shared" si="5"/>
        <v>2850</v>
      </c>
      <c r="G64" s="191">
        <f t="shared" si="5"/>
        <v>2773</v>
      </c>
      <c r="H64" s="191">
        <f t="shared" si="5"/>
        <v>3130</v>
      </c>
      <c r="I64" s="191">
        <f t="shared" si="5"/>
        <v>2341</v>
      </c>
      <c r="J64" s="192">
        <f t="shared" si="5"/>
        <v>4245</v>
      </c>
      <c r="K64" s="192">
        <f t="shared" si="5"/>
        <v>3987</v>
      </c>
      <c r="L64" s="192">
        <f t="shared" si="5"/>
        <v>3842</v>
      </c>
      <c r="M64" s="191">
        <f t="shared" si="5"/>
        <v>3815</v>
      </c>
      <c r="N64" s="191">
        <f t="shared" si="5"/>
        <v>3835</v>
      </c>
      <c r="O64" s="325">
        <v>0.0</v>
      </c>
    </row>
    <row r="65" ht="15.75" customHeight="1"/>
    <row r="66" ht="15.75" customHeight="1">
      <c r="A66" s="299" t="s">
        <v>646</v>
      </c>
      <c r="B66" s="326"/>
      <c r="C66" s="326"/>
      <c r="D66" s="326"/>
      <c r="E66" s="326"/>
      <c r="F66" s="326"/>
      <c r="G66" s="326"/>
      <c r="H66" s="326"/>
      <c r="I66" s="326"/>
      <c r="J66" s="326"/>
      <c r="K66" s="326"/>
      <c r="L66" s="326"/>
      <c r="M66" s="326"/>
      <c r="N66" s="326"/>
      <c r="O66" s="326"/>
    </row>
    <row r="67" ht="15.75" customHeight="1"/>
    <row r="68" ht="15.75" customHeight="1"/>
    <row r="69" ht="15.75" customHeight="1">
      <c r="A69" s="291" t="s">
        <v>724</v>
      </c>
      <c r="B69" s="291" t="s">
        <v>35</v>
      </c>
      <c r="C69" s="291" t="s">
        <v>9</v>
      </c>
      <c r="D69" s="291" t="s">
        <v>10</v>
      </c>
      <c r="E69" s="291" t="s">
        <v>11</v>
      </c>
      <c r="F69" s="291" t="s">
        <v>0</v>
      </c>
      <c r="G69" s="291" t="s">
        <v>1</v>
      </c>
      <c r="H69" s="291" t="s">
        <v>2</v>
      </c>
      <c r="I69" s="291" t="s">
        <v>3</v>
      </c>
      <c r="J69" s="291" t="s">
        <v>4</v>
      </c>
      <c r="K69" s="291" t="s">
        <v>5</v>
      </c>
      <c r="L69" s="291" t="s">
        <v>6</v>
      </c>
      <c r="M69" s="291" t="s">
        <v>7</v>
      </c>
      <c r="N69" s="291" t="s">
        <v>8</v>
      </c>
      <c r="O69" s="291" t="s">
        <v>9</v>
      </c>
    </row>
    <row r="70" ht="15.75" customHeight="1">
      <c r="A70" s="288"/>
      <c r="B70" s="288"/>
      <c r="C70" s="288"/>
      <c r="D70" s="288"/>
      <c r="E70" s="288"/>
      <c r="F70" s="288"/>
      <c r="G70" s="288"/>
      <c r="H70" s="288"/>
      <c r="I70" s="288"/>
      <c r="J70" s="288"/>
      <c r="K70" s="288"/>
      <c r="L70" s="288"/>
      <c r="M70" s="288"/>
      <c r="N70" s="288"/>
      <c r="O70" s="327"/>
    </row>
    <row r="71" ht="15.75" customHeight="1">
      <c r="A71" s="288" t="s">
        <v>668</v>
      </c>
      <c r="B71" s="288">
        <v>6000.0</v>
      </c>
      <c r="C71" s="288">
        <v>4050.0</v>
      </c>
      <c r="D71" s="288">
        <v>0.0</v>
      </c>
      <c r="E71" s="288">
        <v>300.0</v>
      </c>
      <c r="F71" s="288"/>
      <c r="G71" s="288"/>
      <c r="H71" s="288"/>
      <c r="I71" s="288"/>
      <c r="J71" s="288"/>
      <c r="K71" s="288"/>
      <c r="L71" s="288"/>
      <c r="M71" s="288"/>
      <c r="N71" s="288"/>
      <c r="O71" s="327"/>
    </row>
    <row r="72" ht="15.75" customHeight="1">
      <c r="A72" s="288" t="s">
        <v>726</v>
      </c>
      <c r="B72" s="288">
        <v>4250.0</v>
      </c>
      <c r="C72" s="288">
        <v>4900.0</v>
      </c>
      <c r="D72" s="288">
        <v>5850.0</v>
      </c>
      <c r="E72" s="288">
        <v>3030.0</v>
      </c>
      <c r="F72" s="288"/>
      <c r="G72" s="288"/>
      <c r="H72" s="288"/>
      <c r="I72" s="288"/>
      <c r="J72" s="288"/>
      <c r="K72" s="288"/>
      <c r="L72" s="288"/>
      <c r="M72" s="288"/>
      <c r="N72" s="288"/>
      <c r="O72" s="327"/>
    </row>
    <row r="73" ht="15.75" customHeight="1">
      <c r="A73" s="288" t="s">
        <v>727</v>
      </c>
      <c r="B73" s="288">
        <v>23175.0</v>
      </c>
      <c r="C73" s="288">
        <v>23000.0</v>
      </c>
      <c r="D73" s="288">
        <v>22650.0</v>
      </c>
      <c r="E73" s="288">
        <v>22650.0</v>
      </c>
      <c r="F73" s="288"/>
      <c r="G73" s="288"/>
      <c r="H73" s="288"/>
      <c r="I73" s="288"/>
      <c r="J73" s="288"/>
      <c r="K73" s="288"/>
      <c r="L73" s="288"/>
      <c r="M73" s="288"/>
      <c r="N73" s="288"/>
      <c r="O73" s="327"/>
    </row>
    <row r="74" ht="15.75" customHeight="1">
      <c r="A74" s="288" t="s">
        <v>651</v>
      </c>
      <c r="B74" s="288">
        <v>15335.0</v>
      </c>
      <c r="C74" s="288">
        <v>15057.0</v>
      </c>
      <c r="D74" s="288">
        <v>15095.0</v>
      </c>
      <c r="E74" s="288">
        <v>14800.0</v>
      </c>
      <c r="F74" s="288"/>
      <c r="G74" s="288"/>
      <c r="H74" s="288"/>
      <c r="I74" s="288"/>
      <c r="J74" s="288"/>
      <c r="K74" s="288"/>
      <c r="L74" s="288"/>
      <c r="M74" s="288"/>
      <c r="N74" s="288"/>
      <c r="O74" s="288"/>
    </row>
    <row r="75" ht="15.75" customHeight="1">
      <c r="A75" s="288" t="s">
        <v>794</v>
      </c>
      <c r="B75" s="288">
        <v>21360.0</v>
      </c>
      <c r="C75" s="288">
        <v>21155.0</v>
      </c>
      <c r="D75" s="288">
        <v>21060.0</v>
      </c>
      <c r="E75" s="288">
        <v>20923.0</v>
      </c>
      <c r="F75" s="288"/>
      <c r="G75" s="288"/>
      <c r="H75" s="288"/>
      <c r="I75" s="288"/>
      <c r="J75" s="288"/>
      <c r="K75" s="288"/>
      <c r="L75" s="288"/>
      <c r="M75" s="288"/>
      <c r="N75" s="288"/>
      <c r="O75" s="327"/>
    </row>
    <row r="76" ht="15.75" customHeight="1">
      <c r="A76" s="288"/>
      <c r="B76" s="288"/>
      <c r="C76" s="288"/>
      <c r="D76" s="288"/>
      <c r="E76" s="288"/>
      <c r="F76" s="288"/>
      <c r="G76" s="288"/>
      <c r="H76" s="288"/>
      <c r="I76" s="288"/>
      <c r="J76" s="288"/>
      <c r="K76" s="288"/>
      <c r="L76" s="288"/>
      <c r="M76" s="288"/>
      <c r="N76" s="288"/>
      <c r="O76" s="327"/>
    </row>
    <row r="77" ht="15.75" customHeight="1">
      <c r="A77" s="291" t="s">
        <v>291</v>
      </c>
      <c r="B77" s="291">
        <f t="shared" ref="B77:F77" si="6">Sum(B70:B75)</f>
        <v>70120</v>
      </c>
      <c r="C77" s="291">
        <f t="shared" si="6"/>
        <v>68162</v>
      </c>
      <c r="D77" s="291">
        <f t="shared" si="6"/>
        <v>64655</v>
      </c>
      <c r="E77" s="291">
        <f t="shared" si="6"/>
        <v>61703</v>
      </c>
      <c r="F77" s="291">
        <f t="shared" si="6"/>
        <v>0</v>
      </c>
      <c r="G77" s="291">
        <f t="shared" ref="G77:O77" si="7">Sum(G73:G75)</f>
        <v>0</v>
      </c>
      <c r="H77" s="291">
        <f t="shared" si="7"/>
        <v>0</v>
      </c>
      <c r="I77" s="291">
        <f t="shared" si="7"/>
        <v>0</v>
      </c>
      <c r="J77" s="291">
        <f t="shared" si="7"/>
        <v>0</v>
      </c>
      <c r="K77" s="291">
        <f t="shared" si="7"/>
        <v>0</v>
      </c>
      <c r="L77" s="291">
        <f t="shared" si="7"/>
        <v>0</v>
      </c>
      <c r="M77" s="291">
        <f t="shared" si="7"/>
        <v>0</v>
      </c>
      <c r="N77" s="291">
        <f t="shared" si="7"/>
        <v>0</v>
      </c>
      <c r="O77" s="291">
        <f t="shared" si="7"/>
        <v>0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63"/>
    <col customWidth="1" min="2" max="2" width="15.13"/>
    <col customWidth="1" min="3" max="3" width="9.75"/>
    <col customWidth="1" min="4" max="4" width="9.38"/>
    <col customWidth="1" min="5" max="5" width="8.63"/>
    <col customWidth="1" min="6" max="6" width="8.38"/>
    <col customWidth="1" min="7" max="7" width="8.5"/>
    <col customWidth="1" min="8" max="8" width="8.75"/>
    <col customWidth="1" min="9" max="9" width="7.25"/>
    <col customWidth="1" min="10" max="10" width="8.63"/>
    <col customWidth="1" min="11" max="11" width="8.88"/>
    <col customWidth="1" min="12" max="12" width="7.88"/>
    <col customWidth="1" min="13" max="13" width="8.38"/>
    <col customWidth="1" min="14" max="14" width="8.13"/>
    <col customWidth="1" min="15" max="26" width="15.13"/>
  </cols>
  <sheetData>
    <row r="1" ht="15.75" customHeight="1">
      <c r="A1" s="328" t="s">
        <v>795</v>
      </c>
      <c r="B1" s="329" t="s">
        <v>71</v>
      </c>
      <c r="C1" s="329" t="s">
        <v>796</v>
      </c>
      <c r="D1" s="329" t="s">
        <v>797</v>
      </c>
      <c r="E1" s="329" t="s">
        <v>798</v>
      </c>
      <c r="F1" s="329" t="s">
        <v>799</v>
      </c>
      <c r="G1" s="329" t="s">
        <v>800</v>
      </c>
      <c r="H1" s="329" t="s">
        <v>801</v>
      </c>
      <c r="I1" s="329" t="s">
        <v>802</v>
      </c>
      <c r="J1" s="329" t="s">
        <v>803</v>
      </c>
      <c r="K1" s="329" t="s">
        <v>804</v>
      </c>
      <c r="L1" s="329" t="s">
        <v>805</v>
      </c>
      <c r="M1" s="329" t="s">
        <v>806</v>
      </c>
      <c r="N1" s="329" t="s">
        <v>807</v>
      </c>
      <c r="O1" s="330" t="s">
        <v>614</v>
      </c>
    </row>
    <row r="2" ht="15.75" customHeight="1">
      <c r="A2" s="184" t="s">
        <v>808</v>
      </c>
      <c r="B2" s="265"/>
      <c r="C2" s="265">
        <v>2862.0</v>
      </c>
      <c r="D2" s="265">
        <v>3024.0</v>
      </c>
      <c r="E2" s="265">
        <v>2930.0</v>
      </c>
      <c r="F2" s="265">
        <v>2742.0</v>
      </c>
      <c r="G2" s="265">
        <v>3732.0</v>
      </c>
      <c r="H2" s="265">
        <v>3680.0</v>
      </c>
      <c r="I2" s="265"/>
      <c r="J2" s="265">
        <v>2934.6</v>
      </c>
      <c r="K2" s="265">
        <v>3249.0</v>
      </c>
      <c r="L2" s="265">
        <v>2796.2</v>
      </c>
      <c r="M2" s="265">
        <v>3037.0</v>
      </c>
      <c r="N2" s="265">
        <v>2947.41</v>
      </c>
    </row>
    <row r="3" ht="15.75" customHeight="1">
      <c r="A3" s="331" t="s">
        <v>809</v>
      </c>
      <c r="B3" s="331">
        <v>241861.0</v>
      </c>
      <c r="C3" s="331">
        <v>630.0</v>
      </c>
      <c r="D3" s="331">
        <v>630.0</v>
      </c>
      <c r="E3" s="331">
        <v>630.0</v>
      </c>
      <c r="F3" s="331">
        <v>630.0</v>
      </c>
      <c r="G3" s="331">
        <v>630.0</v>
      </c>
      <c r="H3" s="331">
        <v>630.0</v>
      </c>
      <c r="I3" s="331">
        <v>630.0</v>
      </c>
      <c r="J3" s="331">
        <v>630.0</v>
      </c>
      <c r="K3" s="331">
        <v>630.0</v>
      </c>
      <c r="L3" s="331">
        <v>630.0</v>
      </c>
      <c r="M3" s="331">
        <v>630.0</v>
      </c>
      <c r="N3" s="331">
        <v>630.0</v>
      </c>
      <c r="O3" s="332">
        <v>245658.0</v>
      </c>
    </row>
    <row r="4" ht="15.75" customHeight="1">
      <c r="A4" s="331" t="s">
        <v>771</v>
      </c>
      <c r="B4" s="331" t="s">
        <v>223</v>
      </c>
      <c r="C4" s="331">
        <v>100.0</v>
      </c>
      <c r="D4" s="331">
        <v>100.0</v>
      </c>
      <c r="E4" s="331">
        <v>100.0</v>
      </c>
      <c r="F4" s="331">
        <v>100.0</v>
      </c>
      <c r="G4" s="331">
        <v>100.0</v>
      </c>
      <c r="H4" s="331">
        <v>0.0</v>
      </c>
      <c r="I4" s="331">
        <v>100.0</v>
      </c>
      <c r="J4" s="331">
        <v>0.0</v>
      </c>
      <c r="K4" s="331">
        <v>0.0</v>
      </c>
      <c r="L4" s="331">
        <v>100.0</v>
      </c>
      <c r="M4" s="331">
        <v>0.0</v>
      </c>
      <c r="N4" s="331">
        <v>0.0</v>
      </c>
      <c r="O4" s="332" t="s">
        <v>223</v>
      </c>
    </row>
    <row r="5" ht="15.75" customHeight="1">
      <c r="A5" s="331" t="s">
        <v>810</v>
      </c>
      <c r="B5" s="331">
        <v>150.0</v>
      </c>
      <c r="C5" s="331">
        <v>0.0</v>
      </c>
      <c r="D5" s="331">
        <v>0.0</v>
      </c>
      <c r="E5" s="331">
        <v>0.0</v>
      </c>
      <c r="F5" s="331">
        <v>0.0</v>
      </c>
      <c r="G5" s="331">
        <v>0.0</v>
      </c>
      <c r="H5" s="331">
        <v>0.0</v>
      </c>
      <c r="I5" s="331">
        <v>0.0</v>
      </c>
      <c r="J5" s="331">
        <v>0.0</v>
      </c>
      <c r="K5" s="331">
        <v>0.0</v>
      </c>
      <c r="L5" s="331">
        <v>0.0</v>
      </c>
      <c r="M5" s="331">
        <v>0.0</v>
      </c>
      <c r="N5" s="331">
        <v>0.0</v>
      </c>
      <c r="O5" s="332">
        <v>60.0</v>
      </c>
    </row>
    <row r="6" ht="15.75" customHeight="1">
      <c r="A6" s="331" t="s">
        <v>708</v>
      </c>
      <c r="B6" s="331">
        <v>18208.0</v>
      </c>
      <c r="C6" s="331">
        <v>324.0</v>
      </c>
      <c r="D6" s="331">
        <v>0.0</v>
      </c>
      <c r="E6" s="331">
        <v>324.0</v>
      </c>
      <c r="F6" s="331">
        <v>324.0</v>
      </c>
      <c r="G6" s="331">
        <v>324.0</v>
      </c>
      <c r="H6" s="331">
        <v>324.0</v>
      </c>
      <c r="I6" s="331">
        <v>324.0</v>
      </c>
      <c r="J6" s="331">
        <v>324.0</v>
      </c>
      <c r="K6" s="331">
        <v>324.0</v>
      </c>
      <c r="L6" s="331">
        <v>324.0</v>
      </c>
      <c r="M6" s="331">
        <v>324.0</v>
      </c>
      <c r="N6" s="331">
        <v>324.0</v>
      </c>
      <c r="O6" s="332">
        <v>21000.0</v>
      </c>
    </row>
    <row r="7" ht="15.75" customHeight="1">
      <c r="A7" s="331" t="s">
        <v>709</v>
      </c>
      <c r="B7" s="331" t="s">
        <v>223</v>
      </c>
      <c r="C7" s="331">
        <v>166.0</v>
      </c>
      <c r="D7" s="331">
        <v>266.0</v>
      </c>
      <c r="E7" s="331">
        <v>217.0</v>
      </c>
      <c r="F7" s="331">
        <v>217.0</v>
      </c>
      <c r="G7" s="331">
        <v>217.0</v>
      </c>
      <c r="H7" s="331">
        <v>217.0</v>
      </c>
      <c r="I7" s="331">
        <v>217.0</v>
      </c>
      <c r="J7" s="331">
        <v>217.0</v>
      </c>
      <c r="K7" s="331">
        <v>217.0</v>
      </c>
      <c r="L7" s="331">
        <v>230.0</v>
      </c>
      <c r="M7" s="331">
        <v>229.0</v>
      </c>
      <c r="N7" s="331">
        <v>229.0</v>
      </c>
      <c r="O7" s="332" t="s">
        <v>223</v>
      </c>
    </row>
    <row r="8" ht="15.75" customHeight="1">
      <c r="A8" s="331" t="s">
        <v>811</v>
      </c>
      <c r="B8" s="331">
        <v>11000.0</v>
      </c>
      <c r="C8" s="331">
        <v>200.0</v>
      </c>
      <c r="D8" s="331">
        <v>200.0</v>
      </c>
      <c r="E8" s="331">
        <v>200.0</v>
      </c>
      <c r="F8" s="331">
        <v>200.0</v>
      </c>
      <c r="G8" s="331">
        <v>200.0</v>
      </c>
      <c r="H8" s="331">
        <v>250.0</v>
      </c>
      <c r="I8" s="331">
        <v>272.94</v>
      </c>
      <c r="J8" s="331">
        <v>32.0</v>
      </c>
      <c r="K8" s="331">
        <v>200.0</v>
      </c>
      <c r="L8" s="331">
        <v>150.0</v>
      </c>
      <c r="M8" s="331">
        <v>116.0</v>
      </c>
      <c r="N8" s="331">
        <v>349.0</v>
      </c>
      <c r="O8" s="332">
        <v>13000.0</v>
      </c>
    </row>
    <row r="9" ht="15.75" customHeight="1">
      <c r="A9" s="331" t="s">
        <v>812</v>
      </c>
      <c r="B9" s="331">
        <v>0.0</v>
      </c>
      <c r="C9" s="331">
        <v>0.0</v>
      </c>
      <c r="D9" s="331">
        <v>0.0</v>
      </c>
      <c r="E9" s="331">
        <v>0.0</v>
      </c>
      <c r="F9" s="331">
        <v>0.0</v>
      </c>
      <c r="G9" s="331">
        <v>0.0</v>
      </c>
      <c r="H9" s="331">
        <v>0.0</v>
      </c>
      <c r="I9" s="331">
        <v>0.0</v>
      </c>
      <c r="J9" s="331">
        <v>0.0</v>
      </c>
      <c r="K9" s="331">
        <v>0.0</v>
      </c>
      <c r="L9" s="331">
        <v>0.0</v>
      </c>
      <c r="M9" s="331">
        <v>50.0</v>
      </c>
      <c r="N9" s="331">
        <v>0.0</v>
      </c>
      <c r="O9" s="332"/>
    </row>
    <row r="10" ht="15.75" customHeight="1">
      <c r="A10" s="331" t="s">
        <v>813</v>
      </c>
      <c r="B10" s="331">
        <v>9750.0</v>
      </c>
      <c r="C10" s="331">
        <v>750.0</v>
      </c>
      <c r="D10" s="331">
        <v>750.0</v>
      </c>
      <c r="E10" s="331">
        <v>750.0</v>
      </c>
      <c r="F10" s="331">
        <v>500.0</v>
      </c>
      <c r="G10" s="331">
        <v>750.0</v>
      </c>
      <c r="H10" s="331">
        <v>750.0</v>
      </c>
      <c r="I10" s="331">
        <v>750.0</v>
      </c>
      <c r="J10" s="331">
        <v>750.0</v>
      </c>
      <c r="K10" s="331">
        <v>500.0</v>
      </c>
      <c r="L10" s="331">
        <v>500.0</v>
      </c>
      <c r="M10" s="331">
        <v>500.0</v>
      </c>
      <c r="N10" s="331">
        <v>850.0</v>
      </c>
      <c r="O10" s="332">
        <v>2250.0</v>
      </c>
    </row>
    <row r="11" ht="15.75" customHeight="1">
      <c r="A11" s="331" t="s">
        <v>814</v>
      </c>
      <c r="B11" s="331">
        <v>0.0</v>
      </c>
      <c r="C11" s="331">
        <v>0.0</v>
      </c>
      <c r="D11" s="331">
        <v>0.0</v>
      </c>
      <c r="E11" s="331">
        <v>0.0</v>
      </c>
      <c r="F11" s="331">
        <v>0.0</v>
      </c>
      <c r="G11" s="331">
        <v>0.0</v>
      </c>
      <c r="H11" s="331">
        <v>0.0</v>
      </c>
      <c r="I11" s="331">
        <v>0.0</v>
      </c>
      <c r="J11" s="331">
        <v>150.0</v>
      </c>
      <c r="K11" s="331">
        <v>200.0</v>
      </c>
      <c r="L11" s="331">
        <v>0.0</v>
      </c>
      <c r="M11" s="331">
        <v>0.0</v>
      </c>
      <c r="N11" s="331">
        <v>0.0</v>
      </c>
      <c r="O11" s="332">
        <v>0.0</v>
      </c>
    </row>
    <row r="12" ht="15.75" customHeight="1">
      <c r="A12" s="331" t="s">
        <v>815</v>
      </c>
      <c r="B12" s="331">
        <v>0.0</v>
      </c>
      <c r="C12" s="331">
        <v>45.0</v>
      </c>
      <c r="D12" s="331">
        <v>0.0</v>
      </c>
      <c r="E12" s="331">
        <v>0.0</v>
      </c>
      <c r="F12" s="331">
        <v>0.0</v>
      </c>
      <c r="G12" s="331">
        <v>0.0</v>
      </c>
      <c r="H12" s="331">
        <v>0.0</v>
      </c>
      <c r="I12" s="331">
        <v>0.0</v>
      </c>
      <c r="J12" s="331">
        <v>0.0</v>
      </c>
      <c r="K12" s="331">
        <v>0.0</v>
      </c>
      <c r="L12" s="331">
        <v>34.0</v>
      </c>
      <c r="M12" s="331">
        <v>0.0</v>
      </c>
      <c r="N12" s="331">
        <v>0.0</v>
      </c>
      <c r="O12" s="332">
        <v>0.0</v>
      </c>
    </row>
    <row r="13" ht="15.75" customHeight="1">
      <c r="A13" s="331" t="s">
        <v>789</v>
      </c>
      <c r="B13" s="331">
        <v>0.0</v>
      </c>
      <c r="C13" s="331">
        <v>45.0</v>
      </c>
      <c r="D13" s="331">
        <v>53.0</v>
      </c>
      <c r="E13" s="331">
        <v>0.0</v>
      </c>
      <c r="F13" s="331">
        <v>71.0</v>
      </c>
      <c r="G13" s="331">
        <v>0.0</v>
      </c>
      <c r="H13" s="331">
        <v>154.0</v>
      </c>
      <c r="I13" s="331">
        <v>34.0</v>
      </c>
      <c r="J13" s="331">
        <v>0.0</v>
      </c>
      <c r="K13" s="331">
        <v>61.0</v>
      </c>
      <c r="L13" s="331">
        <v>0.0</v>
      </c>
      <c r="M13" s="331">
        <v>74.0</v>
      </c>
      <c r="N13" s="331">
        <v>12.0</v>
      </c>
      <c r="O13" s="332">
        <v>0.0</v>
      </c>
    </row>
    <row r="14" ht="15.75" customHeight="1">
      <c r="A14" s="331" t="s">
        <v>816</v>
      </c>
      <c r="B14" s="331">
        <v>0.0</v>
      </c>
      <c r="C14" s="331">
        <v>0.0</v>
      </c>
      <c r="D14" s="331">
        <v>0.0</v>
      </c>
      <c r="E14" s="331">
        <v>0.0</v>
      </c>
      <c r="F14" s="331">
        <v>0.0</v>
      </c>
      <c r="G14" s="331">
        <v>50.0</v>
      </c>
      <c r="H14" s="331">
        <v>0.0</v>
      </c>
      <c r="I14" s="331">
        <v>0.0</v>
      </c>
      <c r="J14" s="331">
        <v>0.0</v>
      </c>
      <c r="K14" s="331">
        <v>50.0</v>
      </c>
      <c r="L14" s="331">
        <v>0.0</v>
      </c>
      <c r="M14" s="331">
        <v>0.0</v>
      </c>
      <c r="N14" s="331">
        <v>0.0</v>
      </c>
      <c r="O14" s="332">
        <v>0.0</v>
      </c>
    </row>
    <row r="15" ht="15.75" customHeight="1">
      <c r="A15" s="331" t="s">
        <v>817</v>
      </c>
      <c r="B15" s="331">
        <v>5500.0</v>
      </c>
      <c r="C15" s="331">
        <v>250.0</v>
      </c>
      <c r="D15" s="331">
        <v>356.0</v>
      </c>
      <c r="E15" s="331">
        <v>500.0</v>
      </c>
      <c r="F15" s="331">
        <v>300.0</v>
      </c>
      <c r="G15" s="331">
        <v>500.0</v>
      </c>
      <c r="H15" s="331">
        <v>400.0</v>
      </c>
      <c r="I15" s="331">
        <v>100.0</v>
      </c>
      <c r="J15" s="331">
        <v>526.0</v>
      </c>
      <c r="K15" s="331">
        <v>544.0</v>
      </c>
      <c r="L15" s="331">
        <v>475.0</v>
      </c>
      <c r="M15" s="331">
        <v>797.0</v>
      </c>
      <c r="N15" s="331">
        <v>350.0</v>
      </c>
      <c r="O15" s="332">
        <v>0.0</v>
      </c>
    </row>
    <row r="16" ht="15.75" customHeight="1">
      <c r="A16" s="331" t="s">
        <v>790</v>
      </c>
      <c r="B16" s="331" t="s">
        <v>223</v>
      </c>
      <c r="C16" s="331">
        <v>0.0</v>
      </c>
      <c r="D16" s="331">
        <v>3368.0</v>
      </c>
      <c r="E16" s="331">
        <v>0.0</v>
      </c>
      <c r="F16" s="331">
        <v>18.0</v>
      </c>
      <c r="G16" s="331">
        <v>0.0</v>
      </c>
      <c r="H16" s="331">
        <v>101.0</v>
      </c>
      <c r="I16" s="331">
        <v>0.0</v>
      </c>
      <c r="J16" s="331">
        <v>70.0</v>
      </c>
      <c r="K16" s="331">
        <v>114.0</v>
      </c>
      <c r="L16" s="331">
        <v>94.0</v>
      </c>
      <c r="M16" s="331">
        <v>93.0</v>
      </c>
      <c r="N16" s="331">
        <v>73.0</v>
      </c>
      <c r="O16" s="332" t="s">
        <v>223</v>
      </c>
    </row>
    <row r="17" ht="15.75" customHeight="1">
      <c r="A17" s="331"/>
      <c r="B17" s="331"/>
      <c r="C17" s="333"/>
      <c r="D17" s="331"/>
      <c r="E17" s="333"/>
      <c r="F17" s="333"/>
      <c r="G17" s="331"/>
      <c r="H17" s="333"/>
      <c r="I17" s="333"/>
      <c r="J17" s="333"/>
      <c r="K17" s="333"/>
      <c r="L17" s="333"/>
      <c r="M17" s="333"/>
      <c r="N17" s="333"/>
      <c r="O17" s="332"/>
    </row>
    <row r="18" ht="15.75" customHeight="1">
      <c r="A18" s="331" t="s">
        <v>33</v>
      </c>
      <c r="B18" s="331"/>
      <c r="C18" s="331">
        <f t="shared" ref="C18:N18" si="1">Sum(C3:C16)</f>
        <v>2510</v>
      </c>
      <c r="D18" s="331">
        <f t="shared" si="1"/>
        <v>5723</v>
      </c>
      <c r="E18" s="331">
        <f t="shared" si="1"/>
        <v>2721</v>
      </c>
      <c r="F18" s="331">
        <f t="shared" si="1"/>
        <v>2360</v>
      </c>
      <c r="G18" s="331">
        <f t="shared" si="1"/>
        <v>2771</v>
      </c>
      <c r="H18" s="331">
        <f t="shared" si="1"/>
        <v>2826</v>
      </c>
      <c r="I18" s="331">
        <f t="shared" si="1"/>
        <v>2427.94</v>
      </c>
      <c r="J18" s="331">
        <f t="shared" si="1"/>
        <v>2699</v>
      </c>
      <c r="K18" s="331">
        <f t="shared" si="1"/>
        <v>2840</v>
      </c>
      <c r="L18" s="331">
        <f t="shared" si="1"/>
        <v>2537</v>
      </c>
      <c r="M18" s="331">
        <f t="shared" si="1"/>
        <v>2813</v>
      </c>
      <c r="N18" s="331">
        <f t="shared" si="1"/>
        <v>2817</v>
      </c>
      <c r="O18" s="332">
        <v>0.0</v>
      </c>
    </row>
    <row r="19" ht="15.75" customHeight="1">
      <c r="A19" s="184" t="s">
        <v>720</v>
      </c>
      <c r="B19" s="265"/>
      <c r="C19" s="265">
        <v>2673.0</v>
      </c>
      <c r="D19" s="265">
        <v>3620.0</v>
      </c>
      <c r="E19" s="265">
        <v>3010.0</v>
      </c>
      <c r="F19" s="265">
        <v>3100.0</v>
      </c>
      <c r="G19" s="265">
        <v>3640.0</v>
      </c>
      <c r="H19" s="265">
        <v>3483.0</v>
      </c>
      <c r="I19" s="265">
        <v>2875.0</v>
      </c>
      <c r="J19" s="265">
        <v>2845.0</v>
      </c>
      <c r="K19" s="265">
        <v>3014.0</v>
      </c>
      <c r="L19" s="265">
        <v>2893.89</v>
      </c>
      <c r="M19" s="265">
        <v>2805.0</v>
      </c>
      <c r="N19" s="265">
        <v>2836.0</v>
      </c>
    </row>
    <row r="20" ht="15.75" customHeight="1">
      <c r="A20" s="290" t="s">
        <v>809</v>
      </c>
      <c r="B20" s="290">
        <f>B3</f>
        <v>241861</v>
      </c>
      <c r="C20" s="290">
        <v>630.0</v>
      </c>
      <c r="D20" s="290">
        <v>630.0</v>
      </c>
      <c r="E20" s="290">
        <v>630.0</v>
      </c>
      <c r="F20" s="290">
        <v>630.0</v>
      </c>
      <c r="G20" s="290">
        <v>630.0</v>
      </c>
      <c r="H20" s="290">
        <v>630.0</v>
      </c>
      <c r="I20" s="290">
        <v>630.0</v>
      </c>
      <c r="J20" s="290">
        <v>630.0</v>
      </c>
      <c r="K20" s="290">
        <v>630.0</v>
      </c>
      <c r="L20" s="290">
        <v>630.0</v>
      </c>
      <c r="M20" s="290">
        <v>630.0</v>
      </c>
      <c r="N20" s="290">
        <v>630.0</v>
      </c>
      <c r="O20" s="288">
        <f>O3</f>
        <v>245658</v>
      </c>
    </row>
    <row r="21" ht="15.75" customHeight="1">
      <c r="A21" s="290" t="s">
        <v>771</v>
      </c>
      <c r="B21" s="290" t="s">
        <v>223</v>
      </c>
      <c r="C21" s="290">
        <v>0.0</v>
      </c>
      <c r="D21" s="290">
        <v>0.0</v>
      </c>
      <c r="E21" s="290">
        <v>0.0</v>
      </c>
      <c r="F21" s="290">
        <v>0.0</v>
      </c>
      <c r="G21" s="290">
        <v>0.0</v>
      </c>
      <c r="H21" s="290">
        <v>0.0</v>
      </c>
      <c r="I21" s="290">
        <v>0.0</v>
      </c>
      <c r="J21" s="290">
        <v>0.0</v>
      </c>
      <c r="K21" s="290">
        <v>0.0</v>
      </c>
      <c r="L21" s="290">
        <v>100.0</v>
      </c>
      <c r="M21" s="290">
        <v>0.0</v>
      </c>
      <c r="N21" s="290">
        <v>0.0</v>
      </c>
      <c r="O21" s="288"/>
    </row>
    <row r="22" ht="15.75" customHeight="1">
      <c r="A22" s="290" t="s">
        <v>810</v>
      </c>
      <c r="B22" s="290">
        <f>B5</f>
        <v>150</v>
      </c>
      <c r="C22" s="290">
        <v>0.0</v>
      </c>
      <c r="D22" s="290">
        <v>0.0</v>
      </c>
      <c r="E22" s="290">
        <v>0.0</v>
      </c>
      <c r="F22" s="290">
        <v>0.0</v>
      </c>
      <c r="G22" s="290">
        <v>0.0</v>
      </c>
      <c r="H22" s="290">
        <v>0.0</v>
      </c>
      <c r="I22" s="290">
        <v>0.0</v>
      </c>
      <c r="J22" s="290">
        <v>0.0</v>
      </c>
      <c r="K22" s="290">
        <v>0.0</v>
      </c>
      <c r="L22" s="290">
        <v>0.0</v>
      </c>
      <c r="M22" s="290">
        <v>40.0</v>
      </c>
      <c r="N22" s="290">
        <v>50.0</v>
      </c>
      <c r="O22" s="288">
        <v>60.0</v>
      </c>
    </row>
    <row r="23" ht="15.75" customHeight="1">
      <c r="A23" s="290" t="s">
        <v>818</v>
      </c>
      <c r="B23" s="290">
        <v>22658.0</v>
      </c>
      <c r="C23" s="290">
        <v>205.0</v>
      </c>
      <c r="D23" s="290">
        <v>205.0</v>
      </c>
      <c r="E23" s="290">
        <v>205.0</v>
      </c>
      <c r="F23" s="290">
        <v>205.0</v>
      </c>
      <c r="G23" s="290">
        <v>205.0</v>
      </c>
      <c r="H23" s="290">
        <v>205.0</v>
      </c>
      <c r="I23" s="290">
        <v>205.0</v>
      </c>
      <c r="J23" s="290">
        <v>205.0</v>
      </c>
      <c r="K23" s="290">
        <v>0.0</v>
      </c>
      <c r="L23" s="290">
        <v>0.0</v>
      </c>
      <c r="M23" s="290">
        <v>0.0</v>
      </c>
      <c r="N23" s="290">
        <v>0.0</v>
      </c>
      <c r="O23" s="288">
        <v>24308.0</v>
      </c>
    </row>
    <row r="24" ht="15.75" customHeight="1">
      <c r="A24" s="290" t="s">
        <v>721</v>
      </c>
      <c r="B24" s="290" t="s">
        <v>223</v>
      </c>
      <c r="C24" s="290">
        <v>121.0</v>
      </c>
      <c r="D24" s="290">
        <v>144.0</v>
      </c>
      <c r="E24" s="290">
        <v>124.0</v>
      </c>
      <c r="F24" s="290">
        <v>123.0</v>
      </c>
      <c r="G24" s="290">
        <v>93.0</v>
      </c>
      <c r="H24" s="290">
        <v>108.0</v>
      </c>
      <c r="I24" s="290">
        <v>123.0</v>
      </c>
      <c r="J24" s="290">
        <v>103.0</v>
      </c>
      <c r="K24" s="290">
        <v>131.0</v>
      </c>
      <c r="L24" s="290">
        <v>117.0</v>
      </c>
      <c r="M24" s="290">
        <v>101.0</v>
      </c>
      <c r="N24" s="290">
        <v>110.0</v>
      </c>
      <c r="O24" s="288" t="s">
        <v>223</v>
      </c>
    </row>
    <row r="25" ht="15.75" customHeight="1">
      <c r="A25" s="290" t="s">
        <v>819</v>
      </c>
      <c r="B25" s="290" t="s">
        <v>223</v>
      </c>
      <c r="C25" s="290">
        <v>57.0</v>
      </c>
      <c r="D25" s="290">
        <v>57.0</v>
      </c>
      <c r="E25" s="290">
        <v>57.0</v>
      </c>
      <c r="F25" s="290">
        <v>57.0</v>
      </c>
      <c r="G25" s="290">
        <v>57.0</v>
      </c>
      <c r="H25" s="290">
        <v>57.0</v>
      </c>
      <c r="I25" s="290">
        <v>65.0</v>
      </c>
      <c r="J25" s="290">
        <v>65.0</v>
      </c>
      <c r="K25" s="290">
        <v>65.0</v>
      </c>
      <c r="L25" s="290">
        <v>65.0</v>
      </c>
      <c r="M25" s="290">
        <v>65.0</v>
      </c>
      <c r="N25" s="290">
        <v>55.0</v>
      </c>
      <c r="O25" s="288" t="s">
        <v>223</v>
      </c>
    </row>
    <row r="26" ht="15.75" customHeight="1">
      <c r="A26" s="290" t="s">
        <v>820</v>
      </c>
      <c r="B26" s="290">
        <f>B8</f>
        <v>11000</v>
      </c>
      <c r="C26" s="290">
        <v>0.0</v>
      </c>
      <c r="D26" s="290">
        <v>0.0</v>
      </c>
      <c r="E26" s="290">
        <v>0.0</v>
      </c>
      <c r="F26" s="290">
        <v>0.0</v>
      </c>
      <c r="G26" s="290">
        <v>0.0</v>
      </c>
      <c r="H26" s="290">
        <v>0.0</v>
      </c>
      <c r="I26" s="290">
        <v>0.0</v>
      </c>
      <c r="J26" s="290">
        <v>33.0</v>
      </c>
      <c r="K26" s="290">
        <v>0.0</v>
      </c>
      <c r="L26" s="290">
        <v>0.0</v>
      </c>
      <c r="M26" s="290">
        <v>0.0</v>
      </c>
      <c r="N26" s="290">
        <v>135.0</v>
      </c>
      <c r="O26" s="288">
        <f>O8</f>
        <v>13000</v>
      </c>
    </row>
    <row r="27" ht="15.75" customHeight="1">
      <c r="A27" s="290" t="s">
        <v>812</v>
      </c>
      <c r="B27" s="290">
        <v>0.0</v>
      </c>
      <c r="C27" s="290">
        <v>0.0</v>
      </c>
      <c r="D27" s="290">
        <v>0.0</v>
      </c>
      <c r="E27" s="290">
        <v>0.0</v>
      </c>
      <c r="F27" s="290">
        <v>0.0</v>
      </c>
      <c r="G27" s="290">
        <v>0.0</v>
      </c>
      <c r="H27" s="290">
        <v>0.0</v>
      </c>
      <c r="I27" s="290">
        <v>0.0</v>
      </c>
      <c r="J27" s="290">
        <v>133.0</v>
      </c>
      <c r="K27" s="290">
        <v>0.0</v>
      </c>
      <c r="L27" s="290">
        <v>0.0</v>
      </c>
      <c r="M27" s="290">
        <v>0.0</v>
      </c>
      <c r="N27" s="290">
        <v>0.0</v>
      </c>
      <c r="O27" s="288"/>
    </row>
    <row r="28" ht="15.75" customHeight="1">
      <c r="A28" s="290" t="s">
        <v>813</v>
      </c>
      <c r="B28" s="290">
        <f t="shared" ref="B28:B33" si="2">B10</f>
        <v>9750</v>
      </c>
      <c r="C28" s="290">
        <v>750.0</v>
      </c>
      <c r="D28" s="290">
        <v>750.0</v>
      </c>
      <c r="E28" s="290">
        <v>500.0</v>
      </c>
      <c r="F28" s="290">
        <v>750.0</v>
      </c>
      <c r="G28" s="290">
        <v>750.0</v>
      </c>
      <c r="H28" s="290">
        <v>750.0</v>
      </c>
      <c r="I28" s="290">
        <v>900.0</v>
      </c>
      <c r="J28" s="290">
        <v>184.0</v>
      </c>
      <c r="K28" s="290">
        <v>600.0</v>
      </c>
      <c r="L28" s="290">
        <v>750.0</v>
      </c>
      <c r="M28" s="290">
        <v>750.0</v>
      </c>
      <c r="N28" s="290">
        <v>500.0</v>
      </c>
      <c r="O28" s="288">
        <f>O10</f>
        <v>2250</v>
      </c>
    </row>
    <row r="29" ht="15.75" customHeight="1">
      <c r="A29" s="290" t="s">
        <v>814</v>
      </c>
      <c r="B29" s="290">
        <f t="shared" si="2"/>
        <v>0</v>
      </c>
      <c r="C29" s="290">
        <v>0.0</v>
      </c>
      <c r="D29" s="290">
        <v>0.0</v>
      </c>
      <c r="E29" s="290">
        <v>0.0</v>
      </c>
      <c r="F29" s="290">
        <v>0.0</v>
      </c>
      <c r="G29" s="290">
        <v>0.0</v>
      </c>
      <c r="H29" s="290">
        <v>0.0</v>
      </c>
      <c r="I29" s="290">
        <v>0.0</v>
      </c>
      <c r="J29" s="290">
        <v>65.0</v>
      </c>
      <c r="K29" s="290">
        <v>1016.0</v>
      </c>
      <c r="L29" s="290">
        <v>0.0</v>
      </c>
      <c r="M29" s="290">
        <v>0.0</v>
      </c>
      <c r="N29" s="290">
        <v>0.0</v>
      </c>
      <c r="O29" s="288">
        <v>0.0</v>
      </c>
    </row>
    <row r="30" ht="15.75" customHeight="1">
      <c r="A30" s="290" t="s">
        <v>815</v>
      </c>
      <c r="B30" s="290">
        <f t="shared" si="2"/>
        <v>0</v>
      </c>
      <c r="C30" s="290">
        <v>0.0</v>
      </c>
      <c r="D30" s="290">
        <v>0.0</v>
      </c>
      <c r="E30" s="290">
        <v>0.0</v>
      </c>
      <c r="F30" s="290">
        <v>0.0</v>
      </c>
      <c r="G30" s="290">
        <v>62.0</v>
      </c>
      <c r="H30" s="290">
        <v>0.0</v>
      </c>
      <c r="I30" s="290">
        <v>21.0</v>
      </c>
      <c r="J30" s="290">
        <v>0.0</v>
      </c>
      <c r="K30" s="290">
        <v>0.0</v>
      </c>
      <c r="L30" s="290">
        <v>0.0</v>
      </c>
      <c r="M30" s="290">
        <v>55.0</v>
      </c>
      <c r="N30" s="290">
        <v>0.0</v>
      </c>
      <c r="O30" s="288">
        <v>0.0</v>
      </c>
    </row>
    <row r="31" ht="15.75" customHeight="1">
      <c r="A31" s="290" t="s">
        <v>789</v>
      </c>
      <c r="B31" s="290">
        <f t="shared" si="2"/>
        <v>0</v>
      </c>
      <c r="C31" s="290">
        <v>4.0</v>
      </c>
      <c r="D31" s="290">
        <v>81.0</v>
      </c>
      <c r="E31" s="290">
        <v>241.0</v>
      </c>
      <c r="F31" s="290">
        <v>0.0</v>
      </c>
      <c r="G31" s="290">
        <v>0.0</v>
      </c>
      <c r="H31" s="290">
        <v>0.0</v>
      </c>
      <c r="I31" s="290">
        <v>153.0</v>
      </c>
      <c r="J31" s="290">
        <v>137.0</v>
      </c>
      <c r="K31" s="290">
        <v>110.0</v>
      </c>
      <c r="L31" s="290">
        <v>0.0</v>
      </c>
      <c r="M31" s="290">
        <v>4.0</v>
      </c>
      <c r="N31" s="290">
        <v>50.0</v>
      </c>
      <c r="O31" s="288">
        <f t="shared" ref="O31:O34" si="3">O13</f>
        <v>0</v>
      </c>
    </row>
    <row r="32" ht="15.75" customHeight="1">
      <c r="A32" s="290" t="s">
        <v>816</v>
      </c>
      <c r="B32" s="290">
        <f t="shared" si="2"/>
        <v>0</v>
      </c>
      <c r="C32" s="290">
        <v>25.0</v>
      </c>
      <c r="D32" s="290">
        <v>0.0</v>
      </c>
      <c r="E32" s="290">
        <v>131.0</v>
      </c>
      <c r="F32" s="290">
        <v>25.0</v>
      </c>
      <c r="G32" s="290">
        <v>0.0</v>
      </c>
      <c r="H32" s="290">
        <v>0.0</v>
      </c>
      <c r="I32" s="290">
        <v>0.0</v>
      </c>
      <c r="J32" s="290">
        <v>0.0</v>
      </c>
      <c r="K32" s="290">
        <v>0.0</v>
      </c>
      <c r="L32" s="290">
        <v>0.0</v>
      </c>
      <c r="M32" s="290">
        <v>0.0</v>
      </c>
      <c r="N32" s="290">
        <v>0.0</v>
      </c>
      <c r="O32" s="288">
        <f t="shared" si="3"/>
        <v>0</v>
      </c>
    </row>
    <row r="33" ht="15.75" customHeight="1">
      <c r="A33" s="290" t="s">
        <v>821</v>
      </c>
      <c r="B33" s="290">
        <f t="shared" si="2"/>
        <v>5500</v>
      </c>
      <c r="C33" s="290">
        <v>300.0</v>
      </c>
      <c r="D33" s="290">
        <v>524.0</v>
      </c>
      <c r="E33" s="290">
        <v>700.0</v>
      </c>
      <c r="F33" s="290">
        <v>500.0</v>
      </c>
      <c r="G33" s="290">
        <v>500.0</v>
      </c>
      <c r="H33" s="290">
        <v>289.0</v>
      </c>
      <c r="I33" s="290">
        <v>500.0</v>
      </c>
      <c r="J33" s="290">
        <v>458.0</v>
      </c>
      <c r="K33" s="290">
        <v>155.0</v>
      </c>
      <c r="L33" s="290">
        <v>660.0</v>
      </c>
      <c r="M33" s="290">
        <v>650.0</v>
      </c>
      <c r="N33" s="290">
        <v>320.0</v>
      </c>
      <c r="O33" s="288">
        <f t="shared" si="3"/>
        <v>0</v>
      </c>
    </row>
    <row r="34" ht="15.75" customHeight="1">
      <c r="A34" s="290" t="s">
        <v>790</v>
      </c>
      <c r="B34" s="290" t="s">
        <v>223</v>
      </c>
      <c r="C34" s="290">
        <v>0.0</v>
      </c>
      <c r="D34" s="290">
        <v>606.0</v>
      </c>
      <c r="E34" s="290">
        <v>0.0</v>
      </c>
      <c r="F34" s="290">
        <v>36.0</v>
      </c>
      <c r="G34" s="290">
        <v>141.0</v>
      </c>
      <c r="H34" s="290">
        <v>899.0</v>
      </c>
      <c r="I34" s="290">
        <v>220.0</v>
      </c>
      <c r="J34" s="290">
        <v>694.0</v>
      </c>
      <c r="K34" s="290">
        <v>20.0</v>
      </c>
      <c r="L34" s="290">
        <v>178.0</v>
      </c>
      <c r="M34" s="290">
        <v>273.0</v>
      </c>
      <c r="N34" s="290">
        <v>290.0</v>
      </c>
      <c r="O34" s="288" t="str">
        <f t="shared" si="3"/>
        <v>n/a</v>
      </c>
    </row>
    <row r="35" ht="15.75" customHeight="1">
      <c r="A35" s="290"/>
      <c r="B35" s="290"/>
      <c r="C35" s="334"/>
      <c r="D35" s="290"/>
      <c r="E35" s="290"/>
      <c r="F35" s="290"/>
      <c r="G35" s="290"/>
      <c r="H35" s="290"/>
      <c r="I35" s="334"/>
      <c r="J35" s="334"/>
      <c r="K35" s="334"/>
      <c r="L35" s="334"/>
      <c r="M35" s="334"/>
      <c r="N35" s="334"/>
      <c r="O35" s="288"/>
    </row>
    <row r="36" ht="15.75" customHeight="1">
      <c r="A36" s="290" t="s">
        <v>33</v>
      </c>
      <c r="B36" s="290"/>
      <c r="C36" s="290">
        <f t="shared" ref="C36:N36" si="4">Sum(C20:C34)</f>
        <v>2092</v>
      </c>
      <c r="D36" s="290">
        <f t="shared" si="4"/>
        <v>2997</v>
      </c>
      <c r="E36" s="290">
        <f t="shared" si="4"/>
        <v>2588</v>
      </c>
      <c r="F36" s="290">
        <f t="shared" si="4"/>
        <v>2326</v>
      </c>
      <c r="G36" s="290">
        <f t="shared" si="4"/>
        <v>2438</v>
      </c>
      <c r="H36" s="290">
        <f t="shared" si="4"/>
        <v>2938</v>
      </c>
      <c r="I36" s="290">
        <f t="shared" si="4"/>
        <v>2817</v>
      </c>
      <c r="J36" s="290">
        <f t="shared" si="4"/>
        <v>2707</v>
      </c>
      <c r="K36" s="290">
        <f t="shared" si="4"/>
        <v>2727</v>
      </c>
      <c r="L36" s="290">
        <f t="shared" si="4"/>
        <v>2500</v>
      </c>
      <c r="M36" s="290">
        <f t="shared" si="4"/>
        <v>2568</v>
      </c>
      <c r="N36" s="290">
        <f t="shared" si="4"/>
        <v>2140</v>
      </c>
      <c r="O36" s="288">
        <v>0.0</v>
      </c>
    </row>
    <row r="37" ht="15.75" customHeight="1">
      <c r="A37" s="335"/>
      <c r="B37" s="335"/>
      <c r="C37" s="335"/>
      <c r="D37" s="335"/>
      <c r="E37" s="335"/>
      <c r="F37" s="335"/>
      <c r="G37" s="335"/>
      <c r="H37" s="335"/>
      <c r="I37" s="335"/>
      <c r="J37" s="336"/>
      <c r="K37" s="335"/>
      <c r="L37" s="335"/>
      <c r="M37" s="335"/>
      <c r="N37" s="335"/>
    </row>
    <row r="38" ht="15.75" customHeight="1">
      <c r="A38" s="337" t="s">
        <v>822</v>
      </c>
      <c r="B38" s="337" t="s">
        <v>223</v>
      </c>
      <c r="C38" s="337">
        <f t="shared" ref="C38:H38" si="5">Sum(C18,C36)</f>
        <v>4602</v>
      </c>
      <c r="D38" s="337">
        <f t="shared" si="5"/>
        <v>8720</v>
      </c>
      <c r="E38" s="337">
        <f t="shared" si="5"/>
        <v>5309</v>
      </c>
      <c r="F38" s="337">
        <f t="shared" si="5"/>
        <v>4686</v>
      </c>
      <c r="G38" s="337">
        <f t="shared" si="5"/>
        <v>5209</v>
      </c>
      <c r="H38" s="337">
        <f t="shared" si="5"/>
        <v>5764</v>
      </c>
      <c r="I38" s="337">
        <f>Sum(I1:I35)</f>
        <v>10547.88</v>
      </c>
      <c r="J38" s="337">
        <f t="shared" ref="J38:N38" si="6">Sum(J18,J36)</f>
        <v>5406</v>
      </c>
      <c r="K38" s="337">
        <f t="shared" si="6"/>
        <v>5567</v>
      </c>
      <c r="L38" s="337">
        <f t="shared" si="6"/>
        <v>5037</v>
      </c>
      <c r="M38" s="337">
        <f t="shared" si="6"/>
        <v>5381</v>
      </c>
      <c r="N38" s="337">
        <f t="shared" si="6"/>
        <v>4957</v>
      </c>
      <c r="O38" s="291">
        <v>0.0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>
      <c r="A58" s="338"/>
      <c r="B58" s="338"/>
      <c r="C58" s="338"/>
      <c r="D58" s="338"/>
      <c r="E58" s="338"/>
      <c r="F58" s="338"/>
      <c r="G58" s="338"/>
      <c r="H58" s="338"/>
      <c r="I58" s="338"/>
      <c r="J58" s="338"/>
      <c r="K58" s="338"/>
      <c r="L58" s="338"/>
      <c r="M58" s="338"/>
      <c r="N58" s="338"/>
    </row>
    <row r="59" ht="15.75" customHeight="1">
      <c r="A59" s="338"/>
      <c r="B59" s="338"/>
      <c r="C59" s="338"/>
      <c r="D59" s="338"/>
      <c r="E59" s="338"/>
      <c r="F59" s="338"/>
      <c r="G59" s="338"/>
      <c r="H59" s="338"/>
      <c r="I59" s="338"/>
      <c r="J59" s="338"/>
      <c r="K59" s="338"/>
      <c r="L59" s="338"/>
      <c r="M59" s="338"/>
      <c r="N59" s="338"/>
    </row>
    <row r="60" ht="15.75" customHeight="1">
      <c r="A60" s="338"/>
      <c r="B60" s="338"/>
      <c r="C60" s="338"/>
      <c r="D60" s="338"/>
      <c r="E60" s="338"/>
      <c r="F60" s="338"/>
      <c r="G60" s="338"/>
      <c r="H60" s="338"/>
      <c r="I60" s="338"/>
      <c r="J60" s="338"/>
      <c r="K60" s="338"/>
      <c r="L60" s="338"/>
      <c r="M60" s="338"/>
      <c r="N60" s="338"/>
    </row>
    <row r="61" ht="15.75" customHeight="1">
      <c r="A61" s="338"/>
      <c r="B61" s="338"/>
      <c r="C61" s="338"/>
      <c r="D61" s="338"/>
      <c r="E61" s="338"/>
      <c r="F61" s="338"/>
      <c r="G61" s="338"/>
      <c r="H61" s="338"/>
      <c r="I61" s="338"/>
      <c r="J61" s="338"/>
      <c r="K61" s="338"/>
      <c r="L61" s="338"/>
      <c r="M61" s="338"/>
      <c r="N61" s="338"/>
    </row>
    <row r="62" ht="15.75" customHeight="1">
      <c r="A62" s="338"/>
      <c r="B62" s="338"/>
      <c r="C62" s="338"/>
      <c r="D62" s="338"/>
      <c r="E62" s="338"/>
      <c r="F62" s="338"/>
      <c r="G62" s="338"/>
      <c r="H62" s="338"/>
      <c r="I62" s="338"/>
      <c r="J62" s="338"/>
      <c r="K62" s="338"/>
      <c r="L62" s="338"/>
      <c r="M62" s="338"/>
      <c r="N62" s="338"/>
    </row>
    <row r="63" ht="15.75" customHeight="1">
      <c r="A63" s="338"/>
      <c r="B63" s="338"/>
      <c r="C63" s="338"/>
      <c r="D63" s="338"/>
      <c r="E63" s="338"/>
      <c r="F63" s="338"/>
      <c r="G63" s="338"/>
      <c r="H63" s="338"/>
      <c r="I63" s="338"/>
      <c r="J63" s="338"/>
      <c r="K63" s="338"/>
      <c r="L63" s="338"/>
      <c r="M63" s="338"/>
      <c r="N63" s="338"/>
    </row>
    <row r="64" ht="15.75" customHeight="1">
      <c r="A64" s="338"/>
      <c r="B64" s="338"/>
      <c r="C64" s="338"/>
      <c r="D64" s="338"/>
      <c r="E64" s="338"/>
      <c r="F64" s="338"/>
      <c r="G64" s="338"/>
      <c r="H64" s="338"/>
      <c r="I64" s="338"/>
      <c r="J64" s="338"/>
      <c r="K64" s="338"/>
      <c r="L64" s="338"/>
      <c r="M64" s="338"/>
      <c r="N64" s="338"/>
    </row>
    <row r="65" ht="15.75" customHeight="1">
      <c r="A65" s="338"/>
      <c r="B65" s="338"/>
      <c r="C65" s="120"/>
      <c r="D65" s="338"/>
      <c r="E65" s="338"/>
      <c r="F65" s="338"/>
      <c r="G65" s="338"/>
      <c r="H65" s="338"/>
      <c r="I65" s="338"/>
      <c r="J65" s="338"/>
      <c r="K65" s="338"/>
      <c r="L65" s="338"/>
      <c r="M65" s="338"/>
      <c r="N65" s="338"/>
    </row>
    <row r="66" ht="15.75" customHeight="1">
      <c r="A66" s="338"/>
      <c r="B66" s="338"/>
      <c r="C66" s="338"/>
      <c r="D66" s="338"/>
      <c r="E66" s="338"/>
      <c r="F66" s="338"/>
      <c r="G66" s="338"/>
      <c r="H66" s="338"/>
      <c r="I66" s="338"/>
      <c r="J66" s="338"/>
      <c r="K66" s="338"/>
      <c r="L66" s="338"/>
      <c r="M66" s="338"/>
      <c r="N66" s="338"/>
    </row>
    <row r="67" ht="15.75" customHeight="1">
      <c r="A67" s="120"/>
      <c r="B67" s="120"/>
      <c r="C67" s="120"/>
      <c r="D67" s="120"/>
      <c r="E67" s="338"/>
      <c r="F67" s="120"/>
      <c r="G67" s="120"/>
      <c r="H67" s="120"/>
      <c r="I67" s="120"/>
      <c r="J67" s="120"/>
      <c r="K67" s="120"/>
      <c r="L67" s="120"/>
      <c r="M67" s="120"/>
      <c r="N67" s="120"/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0"/>
    <col customWidth="1" min="2" max="2" width="11.38"/>
    <col customWidth="1" min="3" max="3" width="8.5"/>
    <col customWidth="1" min="4" max="5" width="8.0"/>
    <col customWidth="1" min="6" max="6" width="8.5"/>
    <col customWidth="1" min="7" max="7" width="8.25"/>
    <col customWidth="1" min="8" max="8" width="8.5"/>
    <col customWidth="1" min="9" max="9" width="8.25"/>
    <col customWidth="1" min="10" max="10" width="8.0"/>
    <col customWidth="1" min="11" max="11" width="8.25"/>
    <col customWidth="1" min="12" max="12" width="7.88"/>
    <col customWidth="1" min="13" max="13" width="8.0"/>
    <col customWidth="1" min="14" max="14" width="8.25"/>
    <col customWidth="1" min="15" max="15" width="13.0"/>
    <col customWidth="1" min="16" max="26" width="15.13"/>
  </cols>
  <sheetData>
    <row r="1" ht="15.75" customHeight="1">
      <c r="A1" s="339" t="s">
        <v>823</v>
      </c>
      <c r="B1" s="340" t="s">
        <v>71</v>
      </c>
      <c r="C1" s="340" t="s">
        <v>824</v>
      </c>
      <c r="D1" s="340" t="s">
        <v>825</v>
      </c>
      <c r="E1" s="340" t="s">
        <v>826</v>
      </c>
      <c r="F1" s="340" t="s">
        <v>827</v>
      </c>
      <c r="G1" s="340" t="s">
        <v>828</v>
      </c>
      <c r="H1" s="340" t="s">
        <v>829</v>
      </c>
      <c r="I1" s="340" t="s">
        <v>830</v>
      </c>
      <c r="J1" s="340" t="s">
        <v>831</v>
      </c>
      <c r="K1" s="340" t="s">
        <v>832</v>
      </c>
      <c r="L1" s="340" t="s">
        <v>833</v>
      </c>
      <c r="M1" s="340" t="s">
        <v>834</v>
      </c>
      <c r="N1" s="340" t="s">
        <v>835</v>
      </c>
      <c r="O1" s="341" t="s">
        <v>614</v>
      </c>
    </row>
    <row r="2" ht="15.75" customHeight="1">
      <c r="A2" s="184" t="s">
        <v>808</v>
      </c>
      <c r="B2" s="265"/>
      <c r="C2" s="265"/>
      <c r="D2" s="167">
        <v>2999.61</v>
      </c>
      <c r="E2" s="167">
        <v>8732.69</v>
      </c>
      <c r="F2" s="167">
        <v>2852.41</v>
      </c>
      <c r="G2" s="167">
        <v>2758.63</v>
      </c>
      <c r="H2" s="167">
        <v>2751.56</v>
      </c>
      <c r="I2" s="167">
        <v>2813.11</v>
      </c>
      <c r="J2" s="167"/>
      <c r="K2" s="167">
        <v>2929.36</v>
      </c>
      <c r="L2" s="167">
        <v>3221.9</v>
      </c>
      <c r="M2" s="167">
        <v>3035.0</v>
      </c>
      <c r="N2" s="167">
        <v>2838.0</v>
      </c>
    </row>
    <row r="3" ht="15.75" customHeight="1">
      <c r="A3" s="239" t="s">
        <v>809</v>
      </c>
      <c r="B3" s="239">
        <v>245658.0</v>
      </c>
      <c r="C3" s="239">
        <v>730.0</v>
      </c>
      <c r="D3" s="239">
        <v>730.0</v>
      </c>
      <c r="E3" s="239">
        <v>730.0</v>
      </c>
      <c r="F3" s="239">
        <v>730.0</v>
      </c>
      <c r="G3" s="239">
        <v>730.0</v>
      </c>
      <c r="H3" s="239">
        <v>730.0</v>
      </c>
      <c r="I3" s="239">
        <v>730.0</v>
      </c>
      <c r="J3" s="239">
        <v>0.0</v>
      </c>
      <c r="K3" s="239">
        <v>630.0</v>
      </c>
      <c r="L3" s="239">
        <v>630.0</v>
      </c>
      <c r="M3" s="239">
        <v>630.0</v>
      </c>
      <c r="N3" s="239">
        <v>630.0</v>
      </c>
      <c r="O3" s="242">
        <v>245658.0</v>
      </c>
    </row>
    <row r="4" ht="15.75" customHeight="1">
      <c r="A4" s="239" t="s">
        <v>771</v>
      </c>
      <c r="B4" s="239" t="s">
        <v>223</v>
      </c>
      <c r="C4" s="239">
        <v>100.0</v>
      </c>
      <c r="D4" s="239">
        <v>50.0</v>
      </c>
      <c r="E4" s="239">
        <v>100.0</v>
      </c>
      <c r="F4" s="239">
        <v>100.0</v>
      </c>
      <c r="G4" s="239">
        <v>100.0</v>
      </c>
      <c r="H4" s="239">
        <v>0.0</v>
      </c>
      <c r="I4" s="239">
        <v>0.0</v>
      </c>
      <c r="J4" s="239">
        <v>0.0</v>
      </c>
      <c r="K4" s="239">
        <v>50.0</v>
      </c>
      <c r="L4" s="239">
        <v>0.0</v>
      </c>
      <c r="M4" s="239">
        <v>0.0</v>
      </c>
      <c r="N4" s="239">
        <v>0.0</v>
      </c>
      <c r="O4" s="242" t="s">
        <v>223</v>
      </c>
    </row>
    <row r="5" ht="15.75" customHeight="1">
      <c r="A5" s="239" t="s">
        <v>709</v>
      </c>
      <c r="B5" s="239" t="s">
        <v>223</v>
      </c>
      <c r="C5" s="239">
        <v>156.0</v>
      </c>
      <c r="D5" s="239">
        <v>156.0</v>
      </c>
      <c r="E5" s="239">
        <v>156.0</v>
      </c>
      <c r="F5" s="239">
        <v>150.0</v>
      </c>
      <c r="G5" s="239">
        <v>150.0</v>
      </c>
      <c r="H5" s="239">
        <v>150.0</v>
      </c>
      <c r="I5" s="239">
        <v>150.0</v>
      </c>
      <c r="J5" s="239">
        <v>150.0</v>
      </c>
      <c r="K5" s="239">
        <v>150.0</v>
      </c>
      <c r="L5" s="239">
        <v>166.0</v>
      </c>
      <c r="M5" s="239">
        <v>166.0</v>
      </c>
      <c r="N5" s="239">
        <v>166.0</v>
      </c>
      <c r="O5" s="242" t="s">
        <v>223</v>
      </c>
    </row>
    <row r="6" ht="15.75" customHeight="1">
      <c r="A6" s="239" t="s">
        <v>617</v>
      </c>
      <c r="B6" s="239">
        <v>0.0</v>
      </c>
      <c r="C6" s="239">
        <v>250.0</v>
      </c>
      <c r="D6" s="239">
        <v>500.0</v>
      </c>
      <c r="E6" s="239">
        <v>250.0</v>
      </c>
      <c r="F6" s="239">
        <v>0.0</v>
      </c>
      <c r="G6" s="239">
        <v>300.0</v>
      </c>
      <c r="H6" s="239">
        <v>0.0</v>
      </c>
      <c r="I6" s="239">
        <v>250.0</v>
      </c>
      <c r="J6" s="239">
        <v>14250.0</v>
      </c>
      <c r="K6" s="239">
        <v>0.0</v>
      </c>
      <c r="L6" s="239">
        <v>0.0</v>
      </c>
      <c r="M6" s="239">
        <v>0.0</v>
      </c>
      <c r="N6" s="239">
        <v>0.0</v>
      </c>
      <c r="O6" s="242">
        <v>19250.0</v>
      </c>
    </row>
    <row r="7" ht="15.75" customHeight="1">
      <c r="A7" s="239" t="s">
        <v>660</v>
      </c>
      <c r="B7" s="239">
        <v>13000.0</v>
      </c>
      <c r="C7" s="239">
        <v>0.0</v>
      </c>
      <c r="D7" s="239">
        <v>0.0</v>
      </c>
      <c r="E7" s="239">
        <v>0.0</v>
      </c>
      <c r="F7" s="239">
        <v>0.0</v>
      </c>
      <c r="G7" s="239">
        <v>0.0</v>
      </c>
      <c r="H7" s="239">
        <v>0.0</v>
      </c>
      <c r="I7" s="239">
        <v>0.0</v>
      </c>
      <c r="J7" s="239">
        <v>0.0</v>
      </c>
      <c r="K7" s="239">
        <v>480.0</v>
      </c>
      <c r="L7" s="239">
        <v>500.0</v>
      </c>
      <c r="M7" s="239">
        <v>500.0</v>
      </c>
      <c r="N7" s="239">
        <v>500.0</v>
      </c>
      <c r="O7" s="242">
        <v>16480.0</v>
      </c>
    </row>
    <row r="8" ht="15.75" customHeight="1">
      <c r="A8" s="239" t="s">
        <v>813</v>
      </c>
      <c r="B8" s="239">
        <v>2150.0</v>
      </c>
      <c r="C8" s="239">
        <v>1250.0</v>
      </c>
      <c r="D8" s="239">
        <v>1000.0</v>
      </c>
      <c r="E8" s="239">
        <v>1400.0</v>
      </c>
      <c r="F8" s="239">
        <v>800.0</v>
      </c>
      <c r="G8" s="239">
        <v>1000.0</v>
      </c>
      <c r="H8" s="239">
        <v>1000.0</v>
      </c>
      <c r="I8" s="239">
        <v>750.0</v>
      </c>
      <c r="J8" s="239">
        <v>750.0</v>
      </c>
      <c r="K8" s="239">
        <v>750.0</v>
      </c>
      <c r="L8" s="239">
        <v>750.0</v>
      </c>
      <c r="M8" s="239">
        <v>750.0</v>
      </c>
      <c r="N8" s="239">
        <v>750.0</v>
      </c>
      <c r="O8" s="242">
        <v>4250.0</v>
      </c>
    </row>
    <row r="9" ht="15.75" customHeight="1">
      <c r="A9" s="239" t="s">
        <v>815</v>
      </c>
      <c r="B9" s="239">
        <v>0.0</v>
      </c>
      <c r="C9" s="239">
        <v>0.0</v>
      </c>
      <c r="D9" s="239">
        <v>0.0</v>
      </c>
      <c r="E9" s="239">
        <v>0.0</v>
      </c>
      <c r="F9" s="239">
        <v>0.0</v>
      </c>
      <c r="G9" s="239">
        <v>0.0</v>
      </c>
      <c r="H9" s="239">
        <v>0.0</v>
      </c>
      <c r="I9" s="239">
        <v>0.0</v>
      </c>
      <c r="J9" s="239">
        <v>0.0</v>
      </c>
      <c r="K9" s="239">
        <v>42.0</v>
      </c>
      <c r="L9" s="239">
        <v>24.0</v>
      </c>
      <c r="M9" s="239">
        <v>0.0</v>
      </c>
      <c r="N9" s="239">
        <v>0.0</v>
      </c>
      <c r="O9" s="242">
        <v>0.0</v>
      </c>
    </row>
    <row r="10" ht="15.75" customHeight="1">
      <c r="A10" s="239" t="s">
        <v>789</v>
      </c>
      <c r="B10" s="239">
        <v>0.0</v>
      </c>
      <c r="C10" s="239">
        <v>54.0</v>
      </c>
      <c r="D10" s="239">
        <v>50.0</v>
      </c>
      <c r="E10" s="239">
        <v>142.0</v>
      </c>
      <c r="F10" s="239">
        <v>33.0</v>
      </c>
      <c r="G10" s="239">
        <v>68.0</v>
      </c>
      <c r="H10" s="239">
        <v>335.0</v>
      </c>
      <c r="I10" s="239">
        <v>89.0</v>
      </c>
      <c r="J10" s="239">
        <v>123.0</v>
      </c>
      <c r="K10" s="239">
        <v>0.0</v>
      </c>
      <c r="L10" s="239">
        <v>21.0</v>
      </c>
      <c r="M10" s="239">
        <v>129.0</v>
      </c>
      <c r="N10" s="239">
        <v>75.0</v>
      </c>
      <c r="O10" s="242">
        <v>0.0</v>
      </c>
    </row>
    <row r="11" ht="15.75" customHeight="1">
      <c r="A11" s="239" t="s">
        <v>816</v>
      </c>
      <c r="B11" s="239">
        <v>0.0</v>
      </c>
      <c r="C11" s="239">
        <v>0.0</v>
      </c>
      <c r="D11" s="239">
        <v>0.0</v>
      </c>
      <c r="E11" s="239">
        <v>25.0</v>
      </c>
      <c r="F11" s="239">
        <v>375.0</v>
      </c>
      <c r="G11" s="239">
        <v>200.0</v>
      </c>
      <c r="H11" s="239">
        <v>100.0</v>
      </c>
      <c r="I11" s="239">
        <v>0.0</v>
      </c>
      <c r="J11" s="239">
        <v>50.0</v>
      </c>
      <c r="K11" s="239">
        <v>0.0</v>
      </c>
      <c r="L11" s="239">
        <v>50.0</v>
      </c>
      <c r="M11" s="239">
        <v>50.0</v>
      </c>
      <c r="N11" s="239">
        <v>0.0</v>
      </c>
      <c r="O11" s="242">
        <v>0.0</v>
      </c>
    </row>
    <row r="12" ht="15.75" customHeight="1">
      <c r="A12" s="239" t="s">
        <v>836</v>
      </c>
      <c r="B12" s="239">
        <v>0.0</v>
      </c>
      <c r="C12" s="239">
        <v>0.0</v>
      </c>
      <c r="D12" s="239">
        <v>0.0</v>
      </c>
      <c r="E12" s="239">
        <v>0.0</v>
      </c>
      <c r="F12" s="239">
        <v>0.0</v>
      </c>
      <c r="G12" s="239">
        <v>0.0</v>
      </c>
      <c r="H12" s="239">
        <v>0.0</v>
      </c>
      <c r="I12" s="239">
        <v>0.0</v>
      </c>
      <c r="J12" s="239">
        <v>0.0</v>
      </c>
      <c r="K12" s="239">
        <v>0.0</v>
      </c>
      <c r="L12" s="239">
        <v>0.0</v>
      </c>
      <c r="M12" s="239">
        <v>0.0</v>
      </c>
      <c r="N12" s="239">
        <v>0.0</v>
      </c>
      <c r="O12" s="242">
        <v>0.0</v>
      </c>
    </row>
    <row r="13" ht="15.75" customHeight="1">
      <c r="A13" s="239" t="s">
        <v>817</v>
      </c>
      <c r="B13" s="239">
        <v>0.0</v>
      </c>
      <c r="C13" s="239">
        <v>70.0</v>
      </c>
      <c r="D13" s="239">
        <v>135.0</v>
      </c>
      <c r="E13" s="239">
        <v>548.0</v>
      </c>
      <c r="F13" s="239">
        <v>27.0</v>
      </c>
      <c r="G13" s="239">
        <v>33.0</v>
      </c>
      <c r="H13" s="239">
        <v>36.0</v>
      </c>
      <c r="I13" s="239">
        <v>300.0</v>
      </c>
      <c r="J13" s="239">
        <v>242.0</v>
      </c>
      <c r="K13" s="239">
        <v>174.0</v>
      </c>
      <c r="L13" s="239">
        <v>197.0</v>
      </c>
      <c r="M13" s="239">
        <v>300.0</v>
      </c>
      <c r="N13" s="239">
        <v>467.0</v>
      </c>
      <c r="O13" s="242">
        <v>200.0</v>
      </c>
    </row>
    <row r="14" ht="15.75" customHeight="1">
      <c r="A14" s="239" t="s">
        <v>790</v>
      </c>
      <c r="B14" s="239" t="s">
        <v>223</v>
      </c>
      <c r="C14" s="239">
        <v>61.0</v>
      </c>
      <c r="D14" s="239">
        <v>253.0</v>
      </c>
      <c r="E14" s="239">
        <v>5180.0</v>
      </c>
      <c r="F14" s="239">
        <v>85.0</v>
      </c>
      <c r="G14" s="239">
        <v>79.0</v>
      </c>
      <c r="H14" s="239">
        <v>50.0</v>
      </c>
      <c r="I14" s="239">
        <v>29.0</v>
      </c>
      <c r="J14" s="239">
        <v>1255.0</v>
      </c>
      <c r="K14" s="239">
        <v>76.0</v>
      </c>
      <c r="L14" s="239">
        <v>167.0</v>
      </c>
      <c r="M14" s="239">
        <v>0.0</v>
      </c>
      <c r="N14" s="239">
        <v>59.0</v>
      </c>
      <c r="O14" s="242" t="s">
        <v>223</v>
      </c>
    </row>
    <row r="15" ht="15.75" customHeight="1">
      <c r="A15" s="239"/>
      <c r="B15" s="239"/>
      <c r="C15" s="241"/>
      <c r="D15" s="239"/>
      <c r="E15" s="241"/>
      <c r="F15" s="241"/>
      <c r="G15" s="239"/>
      <c r="H15" s="241"/>
      <c r="I15" s="241"/>
      <c r="J15" s="241"/>
      <c r="K15" s="241"/>
      <c r="L15" s="241"/>
      <c r="M15" s="241"/>
      <c r="N15" s="241"/>
      <c r="O15" s="242"/>
    </row>
    <row r="16" ht="15.75" customHeight="1">
      <c r="A16" s="239" t="s">
        <v>33</v>
      </c>
      <c r="B16" s="239"/>
      <c r="C16" s="239">
        <f t="shared" ref="C16:N16" si="1">Sum(C3:C14)</f>
        <v>2671</v>
      </c>
      <c r="D16" s="239">
        <f t="shared" si="1"/>
        <v>2874</v>
      </c>
      <c r="E16" s="239">
        <f t="shared" si="1"/>
        <v>8531</v>
      </c>
      <c r="F16" s="239">
        <f t="shared" si="1"/>
        <v>2300</v>
      </c>
      <c r="G16" s="239">
        <f t="shared" si="1"/>
        <v>2660</v>
      </c>
      <c r="H16" s="239">
        <f t="shared" si="1"/>
        <v>2401</v>
      </c>
      <c r="I16" s="239">
        <f t="shared" si="1"/>
        <v>2298</v>
      </c>
      <c r="J16" s="239">
        <f t="shared" si="1"/>
        <v>16820</v>
      </c>
      <c r="K16" s="239">
        <f t="shared" si="1"/>
        <v>2352</v>
      </c>
      <c r="L16" s="239">
        <f t="shared" si="1"/>
        <v>2505</v>
      </c>
      <c r="M16" s="239">
        <f t="shared" si="1"/>
        <v>2525</v>
      </c>
      <c r="N16" s="239">
        <f t="shared" si="1"/>
        <v>2647</v>
      </c>
      <c r="O16" s="242">
        <v>0.0</v>
      </c>
    </row>
    <row r="17" ht="15.75" customHeight="1">
      <c r="A17" s="305" t="s">
        <v>720</v>
      </c>
      <c r="B17" s="254"/>
      <c r="C17" s="254"/>
      <c r="D17" s="255">
        <v>3134.78</v>
      </c>
      <c r="E17" s="255">
        <v>3115.8</v>
      </c>
      <c r="F17" s="255">
        <v>3531.92</v>
      </c>
      <c r="G17" s="255">
        <v>2785.54</v>
      </c>
      <c r="H17" s="255"/>
      <c r="I17" s="255"/>
      <c r="J17" s="255">
        <v>3220.0</v>
      </c>
      <c r="K17" s="255">
        <v>3570.0</v>
      </c>
      <c r="L17" s="255">
        <v>3514.0</v>
      </c>
      <c r="M17" s="255">
        <v>3495.0</v>
      </c>
      <c r="N17" s="255">
        <v>2943.0</v>
      </c>
      <c r="O17" s="306"/>
    </row>
    <row r="18" ht="15.75" customHeight="1">
      <c r="A18" s="254" t="s">
        <v>809</v>
      </c>
      <c r="B18" s="254">
        <f>B3</f>
        <v>245658</v>
      </c>
      <c r="C18" s="254">
        <v>730.0</v>
      </c>
      <c r="D18" s="254">
        <v>730.0</v>
      </c>
      <c r="E18" s="254">
        <v>730.0</v>
      </c>
      <c r="F18" s="254">
        <v>730.0</v>
      </c>
      <c r="G18" s="254">
        <v>730.0</v>
      </c>
      <c r="H18" s="254">
        <v>730.0</v>
      </c>
      <c r="I18" s="254">
        <v>0.0</v>
      </c>
      <c r="J18" s="254">
        <v>630.0</v>
      </c>
      <c r="K18" s="254">
        <v>630.0</v>
      </c>
      <c r="L18" s="254">
        <v>630.0</v>
      </c>
      <c r="M18" s="254">
        <v>630.0</v>
      </c>
      <c r="N18" s="254">
        <v>630.0</v>
      </c>
      <c r="O18" s="304">
        <f>O3</f>
        <v>245658</v>
      </c>
    </row>
    <row r="19" ht="15.75" customHeight="1">
      <c r="A19" s="254" t="s">
        <v>837</v>
      </c>
      <c r="B19" s="254">
        <v>0.0</v>
      </c>
      <c r="C19" s="254">
        <v>334.0</v>
      </c>
      <c r="D19" s="254">
        <v>334.0</v>
      </c>
      <c r="E19" s="254">
        <v>334.0</v>
      </c>
      <c r="F19" s="254">
        <v>334.0</v>
      </c>
      <c r="G19" s="254">
        <v>334.0</v>
      </c>
      <c r="H19" s="254">
        <v>334.0</v>
      </c>
      <c r="I19" s="254">
        <v>834.0</v>
      </c>
      <c r="J19" s="254">
        <v>50.0</v>
      </c>
      <c r="K19" s="254">
        <v>0.0</v>
      </c>
      <c r="L19" s="254">
        <v>0.0</v>
      </c>
      <c r="M19" s="254">
        <v>0.0</v>
      </c>
      <c r="N19" s="254">
        <v>0.0</v>
      </c>
      <c r="O19" s="304">
        <v>16763.0</v>
      </c>
    </row>
    <row r="20" ht="15.75" customHeight="1">
      <c r="A20" s="254" t="s">
        <v>818</v>
      </c>
      <c r="B20" s="254">
        <v>23020.0</v>
      </c>
      <c r="C20" s="254">
        <v>205.0</v>
      </c>
      <c r="D20" s="254">
        <v>205.0</v>
      </c>
      <c r="E20" s="254">
        <v>205.0</v>
      </c>
      <c r="F20" s="254">
        <v>205.0</v>
      </c>
      <c r="G20" s="254">
        <v>205.0</v>
      </c>
      <c r="H20" s="254">
        <v>205.0</v>
      </c>
      <c r="I20" s="254">
        <v>205.0</v>
      </c>
      <c r="J20" s="254">
        <v>205.0</v>
      </c>
      <c r="K20" s="254">
        <v>205.0</v>
      </c>
      <c r="L20" s="254">
        <v>205.0</v>
      </c>
      <c r="M20" s="254">
        <v>205.0</v>
      </c>
      <c r="N20" s="254">
        <v>205.0</v>
      </c>
      <c r="O20" s="304">
        <v>24308.0</v>
      </c>
    </row>
    <row r="21" ht="15.75" customHeight="1">
      <c r="A21" s="254" t="s">
        <v>721</v>
      </c>
      <c r="B21" s="254" t="s">
        <v>223</v>
      </c>
      <c r="C21" s="254">
        <v>118.0</v>
      </c>
      <c r="D21" s="254">
        <v>115.0</v>
      </c>
      <c r="E21" s="254">
        <v>100.0</v>
      </c>
      <c r="F21" s="254">
        <v>92.0</v>
      </c>
      <c r="G21" s="254">
        <v>104.0</v>
      </c>
      <c r="H21" s="254">
        <v>125.0</v>
      </c>
      <c r="I21" s="254">
        <v>124.0</v>
      </c>
      <c r="J21" s="254">
        <v>177.0</v>
      </c>
      <c r="K21" s="254">
        <v>118.0</v>
      </c>
      <c r="L21" s="254">
        <v>127.0</v>
      </c>
      <c r="M21" s="254">
        <v>118.0</v>
      </c>
      <c r="N21" s="254">
        <v>113.0</v>
      </c>
      <c r="O21" s="304" t="s">
        <v>223</v>
      </c>
    </row>
    <row r="22" ht="15.75" customHeight="1">
      <c r="A22" s="254" t="s">
        <v>819</v>
      </c>
      <c r="B22" s="254" t="s">
        <v>223</v>
      </c>
      <c r="C22" s="254">
        <v>59.0</v>
      </c>
      <c r="D22" s="254">
        <v>59.0</v>
      </c>
      <c r="E22" s="254">
        <v>59.0</v>
      </c>
      <c r="F22" s="254">
        <v>59.0</v>
      </c>
      <c r="G22" s="254">
        <v>59.0</v>
      </c>
      <c r="H22" s="254">
        <v>59.0</v>
      </c>
      <c r="I22" s="254">
        <v>43.0</v>
      </c>
      <c r="J22" s="254">
        <v>43.0</v>
      </c>
      <c r="K22" s="254">
        <v>43.0</v>
      </c>
      <c r="L22" s="254">
        <v>43.0</v>
      </c>
      <c r="M22" s="254">
        <v>43.0</v>
      </c>
      <c r="N22" s="254">
        <v>39.0</v>
      </c>
      <c r="O22" s="304" t="s">
        <v>223</v>
      </c>
    </row>
    <row r="23" ht="15.75" customHeight="1">
      <c r="A23" s="254" t="s">
        <v>660</v>
      </c>
      <c r="B23" s="254">
        <f t="shared" ref="B23:B28" si="2">B7</f>
        <v>13000</v>
      </c>
      <c r="C23" s="254">
        <v>0.0</v>
      </c>
      <c r="D23" s="254">
        <v>0.0</v>
      </c>
      <c r="E23" s="254">
        <v>0.0</v>
      </c>
      <c r="F23" s="254">
        <v>0.0</v>
      </c>
      <c r="G23" s="254">
        <v>0.0</v>
      </c>
      <c r="H23" s="254">
        <v>0.0</v>
      </c>
      <c r="I23" s="254">
        <v>0.0</v>
      </c>
      <c r="J23" s="254">
        <v>0.0</v>
      </c>
      <c r="K23" s="254">
        <v>0.0</v>
      </c>
      <c r="L23" s="254">
        <v>250.0</v>
      </c>
      <c r="M23" s="254">
        <v>250.0</v>
      </c>
      <c r="N23" s="254">
        <v>0.0</v>
      </c>
      <c r="O23" s="304"/>
    </row>
    <row r="24" ht="15.75" customHeight="1">
      <c r="A24" s="254" t="s">
        <v>813</v>
      </c>
      <c r="B24" s="254">
        <f t="shared" si="2"/>
        <v>2150</v>
      </c>
      <c r="C24" s="254">
        <v>750.0</v>
      </c>
      <c r="D24" s="254">
        <v>1250.0</v>
      </c>
      <c r="E24" s="254">
        <v>500.0</v>
      </c>
      <c r="F24" s="254">
        <v>700.0</v>
      </c>
      <c r="G24" s="254">
        <v>700.0</v>
      </c>
      <c r="H24" s="254">
        <v>1000.0</v>
      </c>
      <c r="I24" s="254">
        <v>750.0</v>
      </c>
      <c r="J24" s="254">
        <v>750.0</v>
      </c>
      <c r="K24" s="254">
        <v>1250.0</v>
      </c>
      <c r="L24" s="254">
        <v>750.0</v>
      </c>
      <c r="M24" s="254">
        <v>750.0</v>
      </c>
      <c r="N24" s="254">
        <v>1000.0</v>
      </c>
      <c r="O24" s="304">
        <f>O8</f>
        <v>4250</v>
      </c>
    </row>
    <row r="25" ht="15.75" customHeight="1">
      <c r="A25" s="254" t="s">
        <v>815</v>
      </c>
      <c r="B25" s="254">
        <f t="shared" si="2"/>
        <v>0</v>
      </c>
      <c r="C25" s="254">
        <v>0.0</v>
      </c>
      <c r="D25" s="254">
        <v>0.0</v>
      </c>
      <c r="E25" s="254">
        <v>0.0</v>
      </c>
      <c r="F25" s="254">
        <v>0.0</v>
      </c>
      <c r="G25" s="254">
        <v>0.0</v>
      </c>
      <c r="H25" s="254">
        <v>0.0</v>
      </c>
      <c r="I25" s="254">
        <v>0.0</v>
      </c>
      <c r="J25" s="254">
        <v>0.0</v>
      </c>
      <c r="K25" s="254">
        <v>42.0</v>
      </c>
      <c r="L25" s="254">
        <v>24.0</v>
      </c>
      <c r="M25" s="254">
        <v>0.0</v>
      </c>
      <c r="N25" s="254">
        <v>12.0</v>
      </c>
      <c r="O25" s="304">
        <v>0.0</v>
      </c>
    </row>
    <row r="26" ht="15.75" customHeight="1">
      <c r="A26" s="254" t="s">
        <v>789</v>
      </c>
      <c r="B26" s="254">
        <f t="shared" si="2"/>
        <v>0</v>
      </c>
      <c r="C26" s="254">
        <v>116.0</v>
      </c>
      <c r="D26" s="254">
        <v>0.0</v>
      </c>
      <c r="E26" s="254">
        <v>42.0</v>
      </c>
      <c r="F26" s="254">
        <v>86.0</v>
      </c>
      <c r="G26" s="254">
        <v>0.0</v>
      </c>
      <c r="H26" s="254">
        <v>101.0</v>
      </c>
      <c r="I26" s="254">
        <v>246.0</v>
      </c>
      <c r="J26" s="254">
        <v>150.0</v>
      </c>
      <c r="K26" s="254">
        <v>117.0</v>
      </c>
      <c r="L26" s="254">
        <v>135.0</v>
      </c>
      <c r="M26" s="254">
        <v>77.0</v>
      </c>
      <c r="N26" s="254">
        <v>142.0</v>
      </c>
      <c r="O26" s="304">
        <f t="shared" ref="O26:O30" si="3">O10</f>
        <v>0</v>
      </c>
    </row>
    <row r="27" ht="15.75" customHeight="1">
      <c r="A27" s="254" t="s">
        <v>816</v>
      </c>
      <c r="B27" s="254">
        <f t="shared" si="2"/>
        <v>0</v>
      </c>
      <c r="C27" s="254">
        <v>0.0</v>
      </c>
      <c r="D27" s="254">
        <v>0.0</v>
      </c>
      <c r="E27" s="254">
        <v>525.0</v>
      </c>
      <c r="F27" s="254">
        <v>140.0</v>
      </c>
      <c r="G27" s="254">
        <v>75.0</v>
      </c>
      <c r="H27" s="254">
        <v>100.0</v>
      </c>
      <c r="I27" s="254">
        <v>150.0</v>
      </c>
      <c r="J27" s="254">
        <v>50.0</v>
      </c>
      <c r="K27" s="254">
        <v>50.0</v>
      </c>
      <c r="L27" s="254">
        <v>50.0</v>
      </c>
      <c r="M27" s="254">
        <v>50.0</v>
      </c>
      <c r="N27" s="254">
        <v>20.0</v>
      </c>
      <c r="O27" s="304">
        <f t="shared" si="3"/>
        <v>0</v>
      </c>
    </row>
    <row r="28" ht="15.75" customHeight="1">
      <c r="A28" s="254" t="s">
        <v>836</v>
      </c>
      <c r="B28" s="254">
        <f t="shared" si="2"/>
        <v>0</v>
      </c>
      <c r="C28" s="254">
        <v>10.0</v>
      </c>
      <c r="D28" s="254">
        <v>10.0</v>
      </c>
      <c r="E28" s="254">
        <v>10.0</v>
      </c>
      <c r="F28" s="254">
        <v>10.0</v>
      </c>
      <c r="G28" s="254">
        <v>50.0</v>
      </c>
      <c r="H28" s="254">
        <v>10.0</v>
      </c>
      <c r="I28" s="254">
        <v>10.0</v>
      </c>
      <c r="J28" s="254">
        <v>10.0</v>
      </c>
      <c r="K28" s="254">
        <v>10.0</v>
      </c>
      <c r="L28" s="254">
        <v>10.0</v>
      </c>
      <c r="M28" s="254">
        <v>10.0</v>
      </c>
      <c r="N28" s="254">
        <v>0.0</v>
      </c>
      <c r="O28" s="304">
        <f t="shared" si="3"/>
        <v>0</v>
      </c>
    </row>
    <row r="29" ht="15.75" customHeight="1">
      <c r="A29" s="254" t="s">
        <v>821</v>
      </c>
      <c r="B29" s="254">
        <v>264.0</v>
      </c>
      <c r="C29" s="254">
        <v>214.0</v>
      </c>
      <c r="D29" s="254">
        <v>299.0</v>
      </c>
      <c r="E29" s="254">
        <v>100.0</v>
      </c>
      <c r="F29" s="254">
        <v>300.0</v>
      </c>
      <c r="G29" s="254">
        <v>300.0</v>
      </c>
      <c r="H29" s="254">
        <v>31.0</v>
      </c>
      <c r="I29" s="254">
        <v>300.0</v>
      </c>
      <c r="J29" s="254">
        <v>250.0</v>
      </c>
      <c r="K29" s="254">
        <v>96.0</v>
      </c>
      <c r="L29" s="254">
        <v>292.0</v>
      </c>
      <c r="M29" s="254">
        <v>180.0</v>
      </c>
      <c r="N29" s="254">
        <v>300.0</v>
      </c>
      <c r="O29" s="304">
        <f t="shared" si="3"/>
        <v>200</v>
      </c>
    </row>
    <row r="30" ht="15.75" customHeight="1">
      <c r="A30" s="254" t="s">
        <v>790</v>
      </c>
      <c r="B30" s="254" t="s">
        <v>223</v>
      </c>
      <c r="C30" s="254">
        <v>200.0</v>
      </c>
      <c r="D30" s="254">
        <v>57.0</v>
      </c>
      <c r="E30" s="254">
        <v>0.0</v>
      </c>
      <c r="F30" s="254">
        <v>818.0</v>
      </c>
      <c r="G30" s="254">
        <v>130.0</v>
      </c>
      <c r="H30" s="254">
        <v>75.0</v>
      </c>
      <c r="I30" s="254">
        <v>183.0</v>
      </c>
      <c r="J30" s="254">
        <v>0.0</v>
      </c>
      <c r="K30" s="254">
        <v>520.0</v>
      </c>
      <c r="L30" s="254">
        <v>801.0</v>
      </c>
      <c r="M30" s="254">
        <v>657.0</v>
      </c>
      <c r="N30" s="254">
        <v>204.0</v>
      </c>
      <c r="O30" s="304" t="str">
        <f t="shared" si="3"/>
        <v>n/a</v>
      </c>
    </row>
    <row r="31" ht="15.75" customHeight="1">
      <c r="A31" s="239"/>
      <c r="B31" s="239"/>
      <c r="C31" s="239"/>
      <c r="D31" s="239"/>
      <c r="E31" s="239"/>
      <c r="F31" s="239"/>
      <c r="G31" s="239"/>
      <c r="H31" s="239"/>
      <c r="I31" s="241"/>
      <c r="J31" s="241"/>
      <c r="K31" s="239"/>
      <c r="L31" s="241"/>
      <c r="M31" s="241"/>
      <c r="N31" s="241"/>
      <c r="O31" s="242"/>
    </row>
    <row r="32" ht="15.75" customHeight="1">
      <c r="A32" s="257" t="s">
        <v>33</v>
      </c>
      <c r="B32" s="257"/>
      <c r="C32" s="257">
        <f t="shared" ref="C32:N32" si="4">Sum(C18:C30)</f>
        <v>2736</v>
      </c>
      <c r="D32" s="257">
        <f t="shared" si="4"/>
        <v>3059</v>
      </c>
      <c r="E32" s="257">
        <f t="shared" si="4"/>
        <v>2605</v>
      </c>
      <c r="F32" s="257">
        <f t="shared" si="4"/>
        <v>3474</v>
      </c>
      <c r="G32" s="257">
        <f t="shared" si="4"/>
        <v>2687</v>
      </c>
      <c r="H32" s="257">
        <f t="shared" si="4"/>
        <v>2770</v>
      </c>
      <c r="I32" s="257">
        <f t="shared" si="4"/>
        <v>2845</v>
      </c>
      <c r="J32" s="257">
        <f t="shared" si="4"/>
        <v>2315</v>
      </c>
      <c r="K32" s="257">
        <f t="shared" si="4"/>
        <v>3081</v>
      </c>
      <c r="L32" s="257">
        <f t="shared" si="4"/>
        <v>3317</v>
      </c>
      <c r="M32" s="257">
        <f t="shared" si="4"/>
        <v>2970</v>
      </c>
      <c r="N32" s="257">
        <f t="shared" si="4"/>
        <v>2665</v>
      </c>
      <c r="O32" s="260">
        <v>0.0</v>
      </c>
    </row>
    <row r="33" ht="15.75" customHeight="1">
      <c r="A33" s="252"/>
      <c r="B33" s="252"/>
      <c r="C33" s="252"/>
      <c r="D33" s="252"/>
      <c r="E33" s="252"/>
      <c r="F33" s="252"/>
      <c r="G33" s="252"/>
      <c r="H33" s="252"/>
      <c r="I33" s="252"/>
      <c r="J33" s="342"/>
      <c r="K33" s="252"/>
      <c r="L33" s="252"/>
      <c r="M33" s="252"/>
      <c r="N33" s="252"/>
      <c r="O33" s="122"/>
    </row>
    <row r="34" ht="15.75" customHeight="1">
      <c r="A34" s="343" t="s">
        <v>822</v>
      </c>
      <c r="B34" s="343" t="s">
        <v>223</v>
      </c>
      <c r="C34" s="343">
        <f t="shared" ref="C34:H34" si="5">Sum(C16,C32)</f>
        <v>5407</v>
      </c>
      <c r="D34" s="343">
        <f t="shared" si="5"/>
        <v>5933</v>
      </c>
      <c r="E34" s="343">
        <f t="shared" si="5"/>
        <v>11136</v>
      </c>
      <c r="F34" s="343">
        <f t="shared" si="5"/>
        <v>5774</v>
      </c>
      <c r="G34" s="343">
        <f t="shared" si="5"/>
        <v>5347</v>
      </c>
      <c r="H34" s="343">
        <f t="shared" si="5"/>
        <v>5171</v>
      </c>
      <c r="I34" s="343">
        <f>Sum(I1:I31)</f>
        <v>10254.11</v>
      </c>
      <c r="J34" s="343">
        <f t="shared" ref="J34:N34" si="6">Sum(J16,J32)</f>
        <v>19135</v>
      </c>
      <c r="K34" s="343">
        <f t="shared" si="6"/>
        <v>5433</v>
      </c>
      <c r="L34" s="343">
        <f t="shared" si="6"/>
        <v>5822</v>
      </c>
      <c r="M34" s="343">
        <f t="shared" si="6"/>
        <v>5495</v>
      </c>
      <c r="N34" s="343">
        <f t="shared" si="6"/>
        <v>5312</v>
      </c>
      <c r="O34" s="344">
        <v>0.0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>
      <c r="A54" s="202" t="s">
        <v>838</v>
      </c>
      <c r="B54" s="202" t="s">
        <v>839</v>
      </c>
      <c r="C54" s="202" t="s">
        <v>824</v>
      </c>
      <c r="D54" s="202" t="s">
        <v>825</v>
      </c>
      <c r="E54" s="202" t="s">
        <v>826</v>
      </c>
      <c r="F54" s="202" t="s">
        <v>827</v>
      </c>
      <c r="G54" s="202" t="s">
        <v>828</v>
      </c>
      <c r="H54" s="202" t="s">
        <v>829</v>
      </c>
      <c r="I54" s="202" t="s">
        <v>830</v>
      </c>
      <c r="J54" s="202" t="s">
        <v>831</v>
      </c>
      <c r="K54" s="202" t="s">
        <v>832</v>
      </c>
      <c r="L54" s="202" t="s">
        <v>833</v>
      </c>
      <c r="M54" s="202" t="s">
        <v>834</v>
      </c>
      <c r="N54" s="202" t="s">
        <v>835</v>
      </c>
    </row>
    <row r="55" ht="15.75" customHeight="1">
      <c r="A55" s="202"/>
      <c r="B55" s="202"/>
      <c r="C55" s="202"/>
      <c r="D55" s="202"/>
      <c r="E55" s="202"/>
      <c r="F55" s="202"/>
      <c r="G55" s="202"/>
      <c r="H55" s="202"/>
      <c r="I55" s="202"/>
      <c r="J55" s="202"/>
      <c r="K55" s="202"/>
      <c r="L55" s="202"/>
      <c r="M55" s="202"/>
      <c r="N55" s="202"/>
    </row>
    <row r="56" ht="15.75" customHeight="1">
      <c r="A56" s="202" t="s">
        <v>840</v>
      </c>
      <c r="B56" s="202">
        <v>0.0</v>
      </c>
      <c r="C56" s="202">
        <v>0.0</v>
      </c>
      <c r="D56" s="202">
        <v>0.0</v>
      </c>
      <c r="E56" s="202">
        <v>0.0</v>
      </c>
      <c r="F56" s="202">
        <v>0.0</v>
      </c>
      <c r="G56" s="202">
        <v>0.0</v>
      </c>
      <c r="H56" s="202">
        <v>0.0</v>
      </c>
      <c r="I56" s="202">
        <v>0.0</v>
      </c>
      <c r="J56" s="202">
        <v>0.0</v>
      </c>
      <c r="K56" s="202">
        <v>0.0</v>
      </c>
      <c r="L56" s="202">
        <v>0.0</v>
      </c>
      <c r="M56" s="202">
        <v>0.0</v>
      </c>
      <c r="N56" s="202">
        <v>400.0</v>
      </c>
    </row>
    <row r="57" ht="15.75" customHeight="1">
      <c r="A57" s="202" t="s">
        <v>841</v>
      </c>
      <c r="B57" s="202" t="s">
        <v>223</v>
      </c>
      <c r="C57" s="202">
        <v>1302.0</v>
      </c>
      <c r="D57" s="202">
        <v>0.0</v>
      </c>
      <c r="E57" s="202">
        <v>0.0</v>
      </c>
      <c r="F57" s="202">
        <v>0.0</v>
      </c>
      <c r="G57" s="202">
        <v>250.0</v>
      </c>
      <c r="H57" s="202">
        <v>0.0</v>
      </c>
      <c r="I57" s="202">
        <v>0.0</v>
      </c>
      <c r="J57" s="202">
        <v>0.0</v>
      </c>
      <c r="K57" s="202">
        <v>0.0</v>
      </c>
      <c r="L57" s="202">
        <v>0.0</v>
      </c>
      <c r="M57" s="202">
        <v>0.0</v>
      </c>
      <c r="N57" s="202">
        <v>0.0</v>
      </c>
    </row>
    <row r="58" ht="15.75" customHeight="1">
      <c r="A58" s="202" t="s">
        <v>837</v>
      </c>
      <c r="B58" s="202">
        <v>0.0</v>
      </c>
      <c r="C58" s="202">
        <v>0.0</v>
      </c>
      <c r="D58" s="202">
        <v>0.0</v>
      </c>
      <c r="E58" s="202">
        <v>0.0</v>
      </c>
      <c r="F58" s="202">
        <v>0.0</v>
      </c>
      <c r="G58" s="202">
        <v>0.0</v>
      </c>
      <c r="H58" s="202">
        <v>0.0</v>
      </c>
      <c r="I58" s="202">
        <v>0.0</v>
      </c>
      <c r="J58" s="202">
        <v>0.0</v>
      </c>
      <c r="K58" s="202">
        <v>0.0</v>
      </c>
      <c r="L58" s="202">
        <v>0.0</v>
      </c>
      <c r="M58" s="202">
        <v>0.0</v>
      </c>
      <c r="N58" s="202">
        <v>0.0</v>
      </c>
    </row>
    <row r="59" ht="15.75" customHeight="1">
      <c r="A59" s="202" t="s">
        <v>794</v>
      </c>
      <c r="B59" s="202">
        <v>23020.0</v>
      </c>
      <c r="C59" s="202">
        <v>0.0</v>
      </c>
      <c r="D59" s="202">
        <v>0.0</v>
      </c>
      <c r="E59" s="202">
        <v>0.0</v>
      </c>
      <c r="F59" s="202">
        <v>0.0</v>
      </c>
      <c r="G59" s="202">
        <v>0.0</v>
      </c>
      <c r="H59" s="202">
        <v>0.0</v>
      </c>
      <c r="I59" s="202">
        <v>0.0</v>
      </c>
      <c r="J59" s="202">
        <v>0.0</v>
      </c>
      <c r="K59" s="202">
        <v>0.0</v>
      </c>
      <c r="L59" s="202">
        <v>0.0</v>
      </c>
      <c r="M59" s="202">
        <v>0.0</v>
      </c>
      <c r="N59" s="202">
        <v>0.0</v>
      </c>
    </row>
    <row r="60" ht="15.75" customHeight="1">
      <c r="A60" s="202" t="s">
        <v>660</v>
      </c>
      <c r="B60" s="202">
        <v>13000.0</v>
      </c>
      <c r="C60" s="202">
        <v>0.0</v>
      </c>
      <c r="D60" s="202">
        <v>500.0</v>
      </c>
      <c r="E60" s="202">
        <v>750.0</v>
      </c>
      <c r="F60" s="202">
        <v>700.0</v>
      </c>
      <c r="G60" s="202">
        <v>500.0</v>
      </c>
      <c r="H60" s="202">
        <v>1000.0</v>
      </c>
      <c r="I60" s="202">
        <v>0.0</v>
      </c>
      <c r="J60" s="202">
        <v>0.0</v>
      </c>
      <c r="K60" s="202">
        <v>0.0</v>
      </c>
      <c r="L60" s="202">
        <v>250.0</v>
      </c>
      <c r="M60" s="202">
        <v>250.0</v>
      </c>
      <c r="N60" s="202">
        <v>250.0</v>
      </c>
    </row>
    <row r="61" ht="15.75" customHeight="1">
      <c r="A61" s="202" t="s">
        <v>842</v>
      </c>
      <c r="B61" s="202">
        <v>0.0</v>
      </c>
      <c r="C61" s="202">
        <v>0.0</v>
      </c>
      <c r="D61" s="202">
        <v>0.0</v>
      </c>
      <c r="E61" s="202">
        <v>200.0</v>
      </c>
      <c r="F61" s="202">
        <v>0.0</v>
      </c>
      <c r="G61" s="202">
        <v>0.0</v>
      </c>
      <c r="H61" s="202">
        <v>0.0</v>
      </c>
      <c r="I61" s="202">
        <v>0.0</v>
      </c>
      <c r="J61" s="202">
        <v>0.0</v>
      </c>
      <c r="K61" s="202">
        <v>0.0</v>
      </c>
      <c r="L61" s="202">
        <v>0.0</v>
      </c>
      <c r="M61" s="202">
        <v>0.0</v>
      </c>
      <c r="N61" s="202">
        <v>0.0</v>
      </c>
    </row>
    <row r="62" ht="15.75" customHeight="1">
      <c r="A62" s="202" t="s">
        <v>843</v>
      </c>
      <c r="B62" s="202">
        <v>0.0</v>
      </c>
      <c r="C62" s="202">
        <v>0.0</v>
      </c>
      <c r="D62" s="202">
        <v>0.0</v>
      </c>
      <c r="E62" s="202">
        <v>0.0</v>
      </c>
      <c r="F62" s="202">
        <v>200.0</v>
      </c>
      <c r="G62" s="202">
        <v>0.0</v>
      </c>
      <c r="H62" s="202">
        <v>0.0</v>
      </c>
      <c r="I62" s="202">
        <v>0.0</v>
      </c>
      <c r="J62" s="202">
        <v>0.0</v>
      </c>
      <c r="K62" s="202">
        <v>0.0</v>
      </c>
      <c r="L62" s="202">
        <v>0.0</v>
      </c>
      <c r="M62" s="202">
        <v>0.0</v>
      </c>
      <c r="N62" s="202">
        <v>0.0</v>
      </c>
    </row>
    <row r="63" ht="15.75" customHeight="1">
      <c r="A63" s="202" t="s">
        <v>844</v>
      </c>
      <c r="B63" s="202">
        <v>5000.0</v>
      </c>
      <c r="C63" s="202">
        <v>0.0</v>
      </c>
      <c r="D63" s="202">
        <v>0.0</v>
      </c>
      <c r="E63" s="202">
        <v>0.0</v>
      </c>
      <c r="F63" s="202">
        <v>0.0</v>
      </c>
      <c r="G63" s="202">
        <v>0.0</v>
      </c>
      <c r="H63" s="202">
        <v>0.0</v>
      </c>
      <c r="I63" s="202">
        <v>0.0</v>
      </c>
      <c r="J63" s="202">
        <v>0.0</v>
      </c>
      <c r="K63" s="202">
        <v>0.0</v>
      </c>
      <c r="L63" s="202">
        <v>0.0</v>
      </c>
      <c r="M63" s="202">
        <v>0.0</v>
      </c>
      <c r="N63" s="202">
        <v>0.0</v>
      </c>
    </row>
    <row r="64" ht="15.75" customHeight="1">
      <c r="A64" s="202" t="s">
        <v>845</v>
      </c>
      <c r="B64" s="202">
        <v>0.0</v>
      </c>
      <c r="C64" s="202">
        <v>0.0</v>
      </c>
      <c r="D64" s="202">
        <v>0.0</v>
      </c>
      <c r="E64" s="202">
        <v>0.0</v>
      </c>
      <c r="F64" s="202">
        <v>0.0</v>
      </c>
      <c r="G64" s="202">
        <v>0.0</v>
      </c>
      <c r="H64" s="202">
        <v>400.0</v>
      </c>
      <c r="I64" s="202">
        <v>189.0</v>
      </c>
      <c r="J64" s="202">
        <v>0.0</v>
      </c>
      <c r="K64" s="202">
        <v>0.0</v>
      </c>
      <c r="L64" s="202">
        <v>0.0</v>
      </c>
      <c r="M64" s="202">
        <v>0.0</v>
      </c>
      <c r="N64" s="202">
        <v>0.0</v>
      </c>
    </row>
    <row r="65" ht="15.75" customHeight="1">
      <c r="A65" s="202" t="s">
        <v>846</v>
      </c>
      <c r="B65" s="202">
        <v>0.0</v>
      </c>
      <c r="C65" s="202">
        <v>0.0</v>
      </c>
      <c r="D65" s="202">
        <v>0.0</v>
      </c>
      <c r="E65" s="202">
        <v>0.0</v>
      </c>
      <c r="F65" s="202">
        <v>0.0</v>
      </c>
      <c r="G65" s="202">
        <v>0.0</v>
      </c>
      <c r="H65" s="202">
        <v>0.0</v>
      </c>
      <c r="I65" s="202">
        <v>0.0</v>
      </c>
      <c r="J65" s="202">
        <v>900.0</v>
      </c>
      <c r="K65" s="202">
        <v>100.0</v>
      </c>
      <c r="L65" s="202">
        <v>0.0</v>
      </c>
      <c r="M65" s="202">
        <v>0.0</v>
      </c>
      <c r="N65" s="202">
        <v>0.0</v>
      </c>
    </row>
    <row r="66" ht="15.75" customHeight="1">
      <c r="A66" s="202" t="s">
        <v>847</v>
      </c>
      <c r="B66" s="202">
        <v>0.0</v>
      </c>
      <c r="C66" s="202">
        <v>0.0</v>
      </c>
      <c r="D66" s="202">
        <v>0.0</v>
      </c>
      <c r="E66" s="202">
        <v>0.0</v>
      </c>
      <c r="F66" s="202">
        <v>0.0</v>
      </c>
      <c r="G66" s="202">
        <v>0.0</v>
      </c>
      <c r="H66" s="202">
        <v>0.0</v>
      </c>
      <c r="I66" s="202">
        <v>0.0</v>
      </c>
      <c r="J66" s="202">
        <v>0.0</v>
      </c>
      <c r="K66" s="202">
        <v>0.0</v>
      </c>
      <c r="L66" s="202">
        <v>200.0</v>
      </c>
      <c r="M66" s="202">
        <v>0.0</v>
      </c>
      <c r="N66" s="202">
        <v>0.0</v>
      </c>
    </row>
    <row r="67" ht="15.75" customHeight="1">
      <c r="A67" s="202" t="s">
        <v>848</v>
      </c>
      <c r="B67" s="202">
        <v>21000.0</v>
      </c>
      <c r="C67" s="202">
        <v>0.0</v>
      </c>
      <c r="D67" s="202">
        <v>0.0</v>
      </c>
      <c r="E67" s="202">
        <v>0.0</v>
      </c>
      <c r="F67" s="202">
        <v>0.0</v>
      </c>
      <c r="G67" s="202">
        <v>0.0</v>
      </c>
      <c r="H67" s="202">
        <v>0.0</v>
      </c>
      <c r="I67" s="202">
        <v>0.0</v>
      </c>
      <c r="J67" s="202">
        <v>0.0</v>
      </c>
      <c r="K67" s="202">
        <v>0.0</v>
      </c>
      <c r="L67" s="202">
        <v>0.0</v>
      </c>
      <c r="M67" s="202">
        <v>200.0</v>
      </c>
      <c r="N67" s="202">
        <v>0.0</v>
      </c>
    </row>
    <row r="68" ht="15.75" customHeight="1">
      <c r="A68" s="202"/>
      <c r="B68" s="202"/>
      <c r="C68" s="202"/>
      <c r="D68" s="202"/>
      <c r="E68" s="202"/>
      <c r="F68" s="202"/>
      <c r="G68" s="202"/>
      <c r="H68" s="202"/>
      <c r="I68" s="202"/>
      <c r="J68" s="202"/>
      <c r="K68" s="202"/>
      <c r="L68" s="202"/>
      <c r="M68" s="202"/>
      <c r="N68" s="202"/>
    </row>
    <row r="69" ht="15.75" customHeight="1">
      <c r="A69" s="202" t="s">
        <v>33</v>
      </c>
      <c r="B69" s="202">
        <f>Sum(B57:B67)</f>
        <v>62020</v>
      </c>
      <c r="C69" s="202">
        <f t="shared" ref="C69:G69" si="7">Sum(C57:C63)</f>
        <v>1302</v>
      </c>
      <c r="D69" s="202">
        <f t="shared" si="7"/>
        <v>500</v>
      </c>
      <c r="E69" s="202">
        <f t="shared" si="7"/>
        <v>950</v>
      </c>
      <c r="F69" s="202">
        <f t="shared" si="7"/>
        <v>900</v>
      </c>
      <c r="G69" s="202">
        <f t="shared" si="7"/>
        <v>750</v>
      </c>
      <c r="H69" s="202">
        <f t="shared" ref="H69:I69" si="8">Sum(H57:H64)</f>
        <v>1400</v>
      </c>
      <c r="I69" s="202">
        <f t="shared" si="8"/>
        <v>189</v>
      </c>
      <c r="J69" s="202">
        <f t="shared" ref="J69:K69" si="9">Sum(J57:J65)</f>
        <v>900</v>
      </c>
      <c r="K69" s="202">
        <f t="shared" si="9"/>
        <v>100</v>
      </c>
      <c r="L69" s="202">
        <f>Sum(L57:L66)</f>
        <v>450</v>
      </c>
      <c r="M69" s="202">
        <f>Sum(M57:M67)</f>
        <v>450</v>
      </c>
      <c r="N69" s="202">
        <f>Sum(N56:N65)</f>
        <v>650</v>
      </c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13"/>
    <col customWidth="1" min="2" max="2" width="10.88"/>
    <col customWidth="1" min="3" max="3" width="7.63"/>
    <col customWidth="1" min="4" max="4" width="8.0"/>
    <col customWidth="1" min="5" max="5" width="8.25"/>
    <col customWidth="1" min="6" max="6" width="7.88"/>
    <col customWidth="1" min="7" max="7" width="8.5"/>
    <col customWidth="1" min="8" max="8" width="7.63"/>
    <col customWidth="1" min="9" max="9" width="7.13"/>
    <col customWidth="1" min="10" max="11" width="8.25"/>
    <col customWidth="1" min="12" max="12" width="7.88"/>
    <col customWidth="1" min="13" max="13" width="8.38"/>
    <col customWidth="1" min="14" max="14" width="9.13"/>
    <col customWidth="1" min="15" max="26" width="15.13"/>
  </cols>
  <sheetData>
    <row r="1" ht="15.75" customHeight="1">
      <c r="A1" s="345" t="s">
        <v>849</v>
      </c>
      <c r="B1" s="345" t="s">
        <v>850</v>
      </c>
      <c r="C1" s="346" t="s">
        <v>851</v>
      </c>
      <c r="D1" s="346" t="s">
        <v>852</v>
      </c>
      <c r="E1" s="346" t="s">
        <v>853</v>
      </c>
      <c r="F1" s="346" t="s">
        <v>854</v>
      </c>
      <c r="G1" s="346" t="s">
        <v>855</v>
      </c>
      <c r="H1" s="346" t="s">
        <v>856</v>
      </c>
      <c r="I1" s="346" t="s">
        <v>857</v>
      </c>
      <c r="J1" s="346" t="s">
        <v>858</v>
      </c>
      <c r="K1" s="346" t="s">
        <v>859</v>
      </c>
      <c r="L1" s="346" t="s">
        <v>860</v>
      </c>
      <c r="M1" s="346" t="s">
        <v>861</v>
      </c>
      <c r="N1" s="346" t="s">
        <v>862</v>
      </c>
      <c r="O1" s="347"/>
      <c r="P1" s="347"/>
      <c r="Q1" s="348"/>
      <c r="R1" s="348"/>
    </row>
    <row r="2" ht="15.75" customHeight="1">
      <c r="A2" s="349" t="s">
        <v>808</v>
      </c>
      <c r="B2" s="350" t="s">
        <v>850</v>
      </c>
      <c r="C2" s="351">
        <v>3588.22</v>
      </c>
      <c r="D2" s="351">
        <v>5543.66</v>
      </c>
      <c r="E2" s="352"/>
      <c r="F2" s="351">
        <v>2538.0</v>
      </c>
      <c r="G2" s="352"/>
      <c r="H2" s="352"/>
      <c r="I2" s="352">
        <v>2414.0</v>
      </c>
      <c r="J2" s="352"/>
      <c r="K2" s="352">
        <v>2776.0</v>
      </c>
      <c r="L2" s="352"/>
      <c r="M2" s="352">
        <v>2867.0</v>
      </c>
      <c r="N2" s="352">
        <v>2744.0</v>
      </c>
      <c r="O2" s="353"/>
      <c r="P2" s="353"/>
      <c r="Q2" s="348"/>
      <c r="R2" s="348"/>
    </row>
    <row r="3" ht="15.75" customHeight="1">
      <c r="A3" s="350" t="s">
        <v>809</v>
      </c>
      <c r="B3" s="350">
        <v>246840.0</v>
      </c>
      <c r="C3" s="351">
        <v>784.0</v>
      </c>
      <c r="D3" s="351">
        <v>784.0</v>
      </c>
      <c r="E3" s="351">
        <v>784.0</v>
      </c>
      <c r="F3" s="351">
        <v>784.0</v>
      </c>
      <c r="G3" s="351">
        <v>784.0</v>
      </c>
      <c r="H3" s="351">
        <v>780.0</v>
      </c>
      <c r="I3" s="351">
        <v>780.0</v>
      </c>
      <c r="J3" s="351">
        <v>780.0</v>
      </c>
      <c r="K3" s="351">
        <v>780.0</v>
      </c>
      <c r="L3" s="351">
        <v>730.0</v>
      </c>
      <c r="M3" s="351">
        <v>780.0</v>
      </c>
      <c r="N3" s="351">
        <v>730.0</v>
      </c>
      <c r="O3" s="353"/>
      <c r="P3" s="353"/>
      <c r="Q3" s="348"/>
      <c r="R3" s="348"/>
    </row>
    <row r="4" ht="15.75" customHeight="1">
      <c r="A4" s="350" t="s">
        <v>709</v>
      </c>
      <c r="B4" s="350" t="s">
        <v>223</v>
      </c>
      <c r="C4" s="351">
        <v>162.0</v>
      </c>
      <c r="D4" s="351">
        <v>162.0</v>
      </c>
      <c r="E4" s="351">
        <v>147.0</v>
      </c>
      <c r="F4" s="351">
        <v>157.0</v>
      </c>
      <c r="G4" s="351">
        <v>157.0</v>
      </c>
      <c r="H4" s="351">
        <v>157.0</v>
      </c>
      <c r="I4" s="351">
        <v>157.0</v>
      </c>
      <c r="J4" s="351">
        <v>157.0</v>
      </c>
      <c r="K4" s="351">
        <v>157.0</v>
      </c>
      <c r="L4" s="351">
        <v>157.0</v>
      </c>
      <c r="M4" s="351">
        <v>157.0</v>
      </c>
      <c r="N4" s="351">
        <v>157.0</v>
      </c>
      <c r="O4" s="353"/>
      <c r="P4" s="353"/>
      <c r="Q4" s="348"/>
      <c r="R4" s="348"/>
    </row>
    <row r="5" ht="15.75" customHeight="1">
      <c r="A5" s="350" t="s">
        <v>863</v>
      </c>
      <c r="B5" s="350">
        <v>0.0</v>
      </c>
      <c r="C5" s="351">
        <v>300.0</v>
      </c>
      <c r="D5" s="351">
        <v>350.0</v>
      </c>
      <c r="E5" s="351">
        <v>350.0</v>
      </c>
      <c r="F5" s="351">
        <v>412.0</v>
      </c>
      <c r="G5" s="351">
        <v>351.0</v>
      </c>
      <c r="H5" s="351">
        <v>350.0</v>
      </c>
      <c r="I5" s="351">
        <v>400.0</v>
      </c>
      <c r="J5" s="351">
        <v>315.0</v>
      </c>
      <c r="K5" s="351">
        <v>335.0</v>
      </c>
      <c r="L5" s="351">
        <v>350.0</v>
      </c>
      <c r="M5" s="351">
        <v>0.0</v>
      </c>
      <c r="N5" s="351">
        <v>0.0</v>
      </c>
      <c r="O5" s="353"/>
      <c r="P5" s="353"/>
      <c r="Q5" s="348"/>
      <c r="R5" s="348"/>
    </row>
    <row r="6" ht="15.75" customHeight="1">
      <c r="A6" s="350" t="s">
        <v>652</v>
      </c>
      <c r="B6" s="350">
        <v>19250.0</v>
      </c>
      <c r="C6" s="351">
        <v>0.0</v>
      </c>
      <c r="D6" s="351">
        <v>0.0</v>
      </c>
      <c r="E6" s="351">
        <v>0.0</v>
      </c>
      <c r="F6" s="351">
        <v>0.0</v>
      </c>
      <c r="G6" s="351">
        <v>0.0</v>
      </c>
      <c r="H6" s="351">
        <v>0.0</v>
      </c>
      <c r="I6" s="351">
        <v>0.0</v>
      </c>
      <c r="J6" s="351">
        <v>0.0</v>
      </c>
      <c r="K6" s="351">
        <v>0.0</v>
      </c>
      <c r="L6" s="351">
        <v>0.0</v>
      </c>
      <c r="M6" s="351">
        <v>196.0</v>
      </c>
      <c r="N6" s="351">
        <v>249.0</v>
      </c>
      <c r="O6" s="353"/>
      <c r="P6" s="353"/>
      <c r="Q6" s="348"/>
      <c r="R6" s="348"/>
    </row>
    <row r="7" ht="15.75" customHeight="1">
      <c r="A7" s="350" t="s">
        <v>864</v>
      </c>
      <c r="B7" s="350">
        <v>0.0</v>
      </c>
      <c r="C7" s="351">
        <v>125.0</v>
      </c>
      <c r="D7" s="351">
        <v>125.0</v>
      </c>
      <c r="E7" s="351">
        <v>125.0</v>
      </c>
      <c r="F7" s="351">
        <v>0.0</v>
      </c>
      <c r="G7" s="351">
        <v>125.0</v>
      </c>
      <c r="H7" s="351">
        <v>125.0</v>
      </c>
      <c r="I7" s="351">
        <v>0.0</v>
      </c>
      <c r="J7" s="351">
        <v>0.0</v>
      </c>
      <c r="K7" s="351">
        <v>0.0</v>
      </c>
      <c r="L7" s="351">
        <v>75.0</v>
      </c>
      <c r="M7" s="351">
        <v>491.0</v>
      </c>
      <c r="N7" s="351">
        <v>75.0</v>
      </c>
      <c r="O7" s="353"/>
      <c r="P7" s="353"/>
      <c r="Q7" s="348"/>
      <c r="R7" s="348"/>
    </row>
    <row r="8" ht="15.75" customHeight="1">
      <c r="A8" s="350" t="s">
        <v>865</v>
      </c>
      <c r="B8" s="350">
        <v>0.0</v>
      </c>
      <c r="C8" s="351">
        <v>0.0</v>
      </c>
      <c r="D8" s="351">
        <v>0.0</v>
      </c>
      <c r="E8" s="351">
        <v>500.0</v>
      </c>
      <c r="F8" s="351">
        <v>750.0</v>
      </c>
      <c r="G8" s="351">
        <v>750.0</v>
      </c>
      <c r="H8" s="351">
        <v>500.0</v>
      </c>
      <c r="I8" s="351">
        <v>500.0</v>
      </c>
      <c r="J8" s="351">
        <v>750.0</v>
      </c>
      <c r="K8" s="351">
        <v>1000.0</v>
      </c>
      <c r="L8" s="351">
        <v>750.0</v>
      </c>
      <c r="M8" s="351">
        <v>750.0</v>
      </c>
      <c r="N8" s="351">
        <v>1050.0</v>
      </c>
      <c r="O8" s="353"/>
      <c r="P8" s="353"/>
      <c r="Q8" s="348"/>
      <c r="R8" s="348"/>
    </row>
    <row r="9" ht="15.75" customHeight="1">
      <c r="A9" s="350" t="s">
        <v>866</v>
      </c>
      <c r="B9" s="350">
        <v>0.0</v>
      </c>
      <c r="C9" s="351">
        <v>100.0</v>
      </c>
      <c r="D9" s="351">
        <v>0.0</v>
      </c>
      <c r="E9" s="351">
        <v>100.0</v>
      </c>
      <c r="F9" s="351">
        <v>50.0</v>
      </c>
      <c r="G9" s="351">
        <v>100.0</v>
      </c>
      <c r="H9" s="351">
        <v>50.0</v>
      </c>
      <c r="I9" s="351">
        <v>45.0</v>
      </c>
      <c r="J9" s="351">
        <v>100.0</v>
      </c>
      <c r="K9" s="351">
        <v>53.0</v>
      </c>
      <c r="L9" s="351">
        <v>57.0</v>
      </c>
      <c r="M9" s="351">
        <v>107.0</v>
      </c>
      <c r="N9" s="351">
        <v>0.0</v>
      </c>
      <c r="O9" s="353"/>
      <c r="P9" s="353"/>
      <c r="Q9" s="348"/>
      <c r="R9" s="348"/>
    </row>
    <row r="10" ht="15.75" customHeight="1">
      <c r="A10" s="350" t="s">
        <v>816</v>
      </c>
      <c r="B10" s="350">
        <v>0.0</v>
      </c>
      <c r="C10" s="351">
        <v>100.0</v>
      </c>
      <c r="D10" s="351">
        <v>0.0</v>
      </c>
      <c r="E10" s="351">
        <v>50.0</v>
      </c>
      <c r="F10" s="351">
        <v>0.0</v>
      </c>
      <c r="G10" s="351">
        <v>0.0</v>
      </c>
      <c r="H10" s="351">
        <v>50.0</v>
      </c>
      <c r="I10" s="351">
        <v>0.0</v>
      </c>
      <c r="J10" s="351">
        <v>20.0</v>
      </c>
      <c r="K10" s="351">
        <v>0.0</v>
      </c>
      <c r="L10" s="351">
        <v>0.0</v>
      </c>
      <c r="M10" s="351">
        <v>50.0</v>
      </c>
      <c r="N10" s="351">
        <v>0.0</v>
      </c>
      <c r="O10" s="353"/>
      <c r="P10" s="353"/>
      <c r="Q10" s="348"/>
      <c r="R10" s="348"/>
    </row>
    <row r="11" ht="15.75" customHeight="1">
      <c r="A11" s="350" t="s">
        <v>836</v>
      </c>
      <c r="B11" s="350">
        <v>0.0</v>
      </c>
      <c r="C11" s="351"/>
      <c r="D11" s="351"/>
      <c r="E11" s="351"/>
      <c r="F11" s="351"/>
      <c r="G11" s="351"/>
      <c r="H11" s="351">
        <v>100.0</v>
      </c>
      <c r="I11" s="351">
        <v>75.0</v>
      </c>
      <c r="J11" s="351">
        <v>100.0</v>
      </c>
      <c r="K11" s="351">
        <v>32.0</v>
      </c>
      <c r="L11" s="351">
        <v>12.0</v>
      </c>
      <c r="M11" s="351">
        <v>10.0</v>
      </c>
      <c r="N11" s="351">
        <v>0.0</v>
      </c>
      <c r="O11" s="353"/>
      <c r="P11" s="353"/>
      <c r="Q11" s="348"/>
      <c r="R11" s="348"/>
    </row>
    <row r="12" ht="15.75" customHeight="1">
      <c r="A12" s="350" t="s">
        <v>817</v>
      </c>
      <c r="B12" s="350">
        <v>0.0</v>
      </c>
      <c r="C12" s="351">
        <v>0.0</v>
      </c>
      <c r="D12" s="351">
        <v>82.0</v>
      </c>
      <c r="E12" s="351">
        <v>200.0</v>
      </c>
      <c r="F12" s="351">
        <v>28.0</v>
      </c>
      <c r="G12" s="351">
        <v>107.0</v>
      </c>
      <c r="H12" s="351">
        <v>100.0</v>
      </c>
      <c r="I12" s="351">
        <v>0.0</v>
      </c>
      <c r="J12" s="351">
        <v>307.0</v>
      </c>
      <c r="K12" s="351">
        <v>200.0</v>
      </c>
      <c r="L12" s="351">
        <v>138.0</v>
      </c>
      <c r="M12" s="351">
        <v>0.0</v>
      </c>
      <c r="N12" s="351">
        <v>0.0</v>
      </c>
      <c r="O12" s="353"/>
      <c r="P12" s="353"/>
      <c r="Q12" s="348"/>
      <c r="R12" s="348"/>
    </row>
    <row r="13" ht="15.75" customHeight="1">
      <c r="A13" s="350" t="s">
        <v>790</v>
      </c>
      <c r="B13" s="350" t="s">
        <v>223</v>
      </c>
      <c r="C13" s="351">
        <v>275.0</v>
      </c>
      <c r="D13" s="351">
        <v>3521.0</v>
      </c>
      <c r="E13" s="351">
        <v>150.0</v>
      </c>
      <c r="F13" s="351">
        <v>130.0</v>
      </c>
      <c r="G13" s="351">
        <v>296.0</v>
      </c>
      <c r="H13" s="351">
        <v>0.0</v>
      </c>
      <c r="I13" s="351">
        <v>500.0</v>
      </c>
      <c r="J13" s="351">
        <v>300.0</v>
      </c>
      <c r="K13" s="351">
        <v>54.0</v>
      </c>
      <c r="L13" s="351">
        <v>100.0</v>
      </c>
      <c r="M13" s="351">
        <v>509.0</v>
      </c>
      <c r="N13" s="351">
        <v>231.0</v>
      </c>
      <c r="O13" s="353"/>
      <c r="P13" s="353"/>
      <c r="Q13" s="348"/>
      <c r="R13" s="348"/>
    </row>
    <row r="14" ht="15.75" customHeight="1">
      <c r="A14" s="350"/>
      <c r="B14" s="350"/>
      <c r="C14" s="352"/>
      <c r="D14" s="351"/>
      <c r="E14" s="352"/>
      <c r="F14" s="352"/>
      <c r="G14" s="351"/>
      <c r="H14" s="352"/>
      <c r="I14" s="352"/>
      <c r="J14" s="352"/>
      <c r="K14" s="352"/>
      <c r="L14" s="352"/>
      <c r="M14" s="352"/>
      <c r="N14" s="352"/>
      <c r="O14" s="353"/>
      <c r="P14" s="353"/>
      <c r="Q14" s="348"/>
      <c r="R14" s="348"/>
    </row>
    <row r="15" ht="15.75" customHeight="1">
      <c r="A15" s="350" t="s">
        <v>33</v>
      </c>
      <c r="B15" s="350"/>
      <c r="C15" s="351">
        <f>Sum(C3:C14)</f>
        <v>1846</v>
      </c>
      <c r="D15" s="351">
        <f t="shared" ref="D15:N15" si="1">Sum(D3:D13)</f>
        <v>5024</v>
      </c>
      <c r="E15" s="352">
        <f t="shared" si="1"/>
        <v>2406</v>
      </c>
      <c r="F15" s="352">
        <f t="shared" si="1"/>
        <v>2311</v>
      </c>
      <c r="G15" s="352">
        <f t="shared" si="1"/>
        <v>2670</v>
      </c>
      <c r="H15" s="352">
        <f t="shared" si="1"/>
        <v>2212</v>
      </c>
      <c r="I15" s="352">
        <f t="shared" si="1"/>
        <v>2457</v>
      </c>
      <c r="J15" s="352">
        <f t="shared" si="1"/>
        <v>2829</v>
      </c>
      <c r="K15" s="352">
        <f t="shared" si="1"/>
        <v>2611</v>
      </c>
      <c r="L15" s="352">
        <f t="shared" si="1"/>
        <v>2369</v>
      </c>
      <c r="M15" s="352">
        <f t="shared" si="1"/>
        <v>3050</v>
      </c>
      <c r="N15" s="352">
        <f t="shared" si="1"/>
        <v>2492</v>
      </c>
      <c r="O15" s="353"/>
      <c r="P15" s="353"/>
      <c r="Q15" s="348"/>
      <c r="R15" s="348"/>
    </row>
    <row r="16" ht="15.75" customHeight="1">
      <c r="A16" s="354" t="s">
        <v>720</v>
      </c>
      <c r="B16" s="355" t="s">
        <v>850</v>
      </c>
      <c r="C16" s="290">
        <v>3621.59</v>
      </c>
      <c r="D16" s="334">
        <v>2950.0</v>
      </c>
      <c r="E16" s="334"/>
      <c r="F16" s="334"/>
      <c r="G16" s="334" t="s">
        <v>867</v>
      </c>
      <c r="H16" s="334"/>
      <c r="I16" s="334"/>
      <c r="J16" s="334"/>
      <c r="K16" s="334"/>
      <c r="L16" s="334"/>
      <c r="M16" s="334">
        <v>2940.0</v>
      </c>
      <c r="N16" s="334" t="s">
        <v>867</v>
      </c>
      <c r="O16" s="353"/>
      <c r="P16" s="353"/>
      <c r="Q16" s="348"/>
      <c r="R16" s="348"/>
    </row>
    <row r="17" ht="15.75" customHeight="1">
      <c r="A17" s="355" t="s">
        <v>809</v>
      </c>
      <c r="B17" s="355">
        <f>B3</f>
        <v>246840</v>
      </c>
      <c r="C17" s="290">
        <v>784.0</v>
      </c>
      <c r="D17" s="290">
        <v>784.0</v>
      </c>
      <c r="E17" s="290">
        <v>784.0</v>
      </c>
      <c r="F17" s="290">
        <v>784.0</v>
      </c>
      <c r="G17" s="290">
        <v>730.0</v>
      </c>
      <c r="H17" s="290">
        <v>730.0</v>
      </c>
      <c r="I17" s="290">
        <v>730.0</v>
      </c>
      <c r="J17" s="290">
        <v>780.0</v>
      </c>
      <c r="K17" s="290">
        <v>780.0</v>
      </c>
      <c r="L17" s="290">
        <v>780.0</v>
      </c>
      <c r="M17" s="290">
        <v>780.0</v>
      </c>
      <c r="N17" s="290">
        <v>730.0</v>
      </c>
      <c r="O17" s="353"/>
      <c r="P17" s="353"/>
      <c r="Q17" s="348"/>
      <c r="R17" s="348"/>
    </row>
    <row r="18" ht="15.75" customHeight="1">
      <c r="A18" s="355" t="s">
        <v>837</v>
      </c>
      <c r="B18" s="355">
        <v>16763.0</v>
      </c>
      <c r="C18" s="290">
        <v>334.0</v>
      </c>
      <c r="D18" s="290">
        <v>334.0</v>
      </c>
      <c r="E18" s="290">
        <v>334.0</v>
      </c>
      <c r="F18" s="290">
        <v>334.0</v>
      </c>
      <c r="G18" s="290">
        <v>334.0</v>
      </c>
      <c r="H18" s="290">
        <v>334.0</v>
      </c>
      <c r="I18" s="290">
        <v>334.0</v>
      </c>
      <c r="J18" s="290">
        <v>334.0</v>
      </c>
      <c r="K18" s="290">
        <v>334.0</v>
      </c>
      <c r="L18" s="290">
        <v>334.0</v>
      </c>
      <c r="M18" s="290">
        <v>334.0</v>
      </c>
      <c r="N18" s="290">
        <v>334.0</v>
      </c>
      <c r="O18" s="353"/>
      <c r="P18" s="353"/>
      <c r="Q18" s="348"/>
      <c r="R18" s="348"/>
    </row>
    <row r="19" ht="15.75" customHeight="1">
      <c r="A19" s="355" t="s">
        <v>818</v>
      </c>
      <c r="B19" s="355">
        <v>24308.0</v>
      </c>
      <c r="C19" s="290">
        <v>205.0</v>
      </c>
      <c r="D19" s="290">
        <v>205.0</v>
      </c>
      <c r="E19" s="290">
        <v>205.0</v>
      </c>
      <c r="F19" s="290">
        <v>205.0</v>
      </c>
      <c r="G19" s="290">
        <v>205.0</v>
      </c>
      <c r="H19" s="290">
        <v>205.0</v>
      </c>
      <c r="I19" s="290">
        <v>205.0</v>
      </c>
      <c r="J19" s="290">
        <v>205.0</v>
      </c>
      <c r="K19" s="290">
        <v>205.0</v>
      </c>
      <c r="L19" s="290">
        <v>205.0</v>
      </c>
      <c r="M19" s="290">
        <v>205.0</v>
      </c>
      <c r="N19" s="290">
        <v>205.0</v>
      </c>
      <c r="O19" s="353"/>
      <c r="P19" s="353"/>
      <c r="Q19" s="348"/>
      <c r="R19" s="348"/>
    </row>
    <row r="20" ht="15.75" customHeight="1">
      <c r="A20" s="355" t="s">
        <v>864</v>
      </c>
      <c r="B20" s="355">
        <f>B7</f>
        <v>0</v>
      </c>
      <c r="C20" s="290">
        <v>0.0</v>
      </c>
      <c r="D20" s="290">
        <v>125.0</v>
      </c>
      <c r="E20" s="290">
        <v>0.0</v>
      </c>
      <c r="F20" s="290">
        <v>0.0</v>
      </c>
      <c r="G20" s="290">
        <v>0.0</v>
      </c>
      <c r="H20" s="290">
        <v>0.0</v>
      </c>
      <c r="I20" s="290">
        <v>0.0</v>
      </c>
      <c r="J20" s="290">
        <v>0.0</v>
      </c>
      <c r="K20" s="290">
        <v>75.0</v>
      </c>
      <c r="L20" s="290">
        <v>75.0</v>
      </c>
      <c r="M20" s="290">
        <v>276.0</v>
      </c>
      <c r="N20" s="290">
        <v>276.0</v>
      </c>
      <c r="O20" s="353"/>
      <c r="P20" s="353"/>
      <c r="Q20" s="348"/>
      <c r="R20" s="348"/>
    </row>
    <row r="21" ht="15.75" customHeight="1">
      <c r="A21" s="355" t="s">
        <v>721</v>
      </c>
      <c r="B21" s="355" t="s">
        <v>223</v>
      </c>
      <c r="C21" s="290">
        <v>109.0</v>
      </c>
      <c r="D21" s="290">
        <v>107.0</v>
      </c>
      <c r="E21" s="290">
        <v>83.0</v>
      </c>
      <c r="F21" s="290">
        <v>92.0</v>
      </c>
      <c r="G21" s="290">
        <v>100.0</v>
      </c>
      <c r="H21" s="290">
        <v>96.0</v>
      </c>
      <c r="I21" s="290">
        <v>92.0</v>
      </c>
      <c r="J21" s="290">
        <v>135.0</v>
      </c>
      <c r="K21" s="290">
        <v>114.0</v>
      </c>
      <c r="L21" s="290">
        <v>95.0</v>
      </c>
      <c r="M21" s="290">
        <v>97.0</v>
      </c>
      <c r="N21" s="290">
        <v>99.0</v>
      </c>
      <c r="O21" s="353"/>
      <c r="P21" s="353"/>
      <c r="Q21" s="348"/>
      <c r="R21" s="348"/>
    </row>
    <row r="22" ht="15.75" customHeight="1">
      <c r="A22" s="355" t="s">
        <v>819</v>
      </c>
      <c r="B22" s="355" t="s">
        <v>223</v>
      </c>
      <c r="C22" s="290">
        <v>0.0</v>
      </c>
      <c r="D22" s="290">
        <v>64.0</v>
      </c>
      <c r="E22" s="290">
        <v>64.0</v>
      </c>
      <c r="F22" s="290">
        <v>64.0</v>
      </c>
      <c r="G22" s="290">
        <v>64.0</v>
      </c>
      <c r="H22" s="290">
        <v>64.0</v>
      </c>
      <c r="I22" s="290">
        <v>72.0</v>
      </c>
      <c r="J22" s="290">
        <v>72.0</v>
      </c>
      <c r="K22" s="290">
        <v>72.0</v>
      </c>
      <c r="L22" s="290">
        <v>72.0</v>
      </c>
      <c r="M22" s="290">
        <v>72.0</v>
      </c>
      <c r="N22" s="290">
        <v>34.0</v>
      </c>
      <c r="O22" s="353"/>
      <c r="P22" s="353"/>
      <c r="Q22" s="348"/>
      <c r="R22" s="348"/>
    </row>
    <row r="23" ht="15.75" customHeight="1">
      <c r="A23" s="355" t="s">
        <v>865</v>
      </c>
      <c r="B23" s="355">
        <v>0.0</v>
      </c>
      <c r="C23" s="290">
        <v>500.0</v>
      </c>
      <c r="D23" s="290">
        <v>500.0</v>
      </c>
      <c r="E23" s="290">
        <v>750.0</v>
      </c>
      <c r="F23" s="290">
        <v>750.0</v>
      </c>
      <c r="G23" s="290">
        <v>750.0</v>
      </c>
      <c r="H23" s="290">
        <v>750.0</v>
      </c>
      <c r="I23" s="290">
        <v>500.0</v>
      </c>
      <c r="J23" s="290">
        <v>1750.0</v>
      </c>
      <c r="K23" s="290">
        <v>800.0</v>
      </c>
      <c r="L23" s="290">
        <v>500.0</v>
      </c>
      <c r="M23" s="290">
        <v>750.0</v>
      </c>
      <c r="N23" s="290">
        <v>750.0</v>
      </c>
      <c r="O23" s="353"/>
      <c r="P23" s="353"/>
      <c r="Q23" s="348"/>
      <c r="R23" s="348"/>
    </row>
    <row r="24" ht="15.75" customHeight="1">
      <c r="A24" s="355" t="s">
        <v>866</v>
      </c>
      <c r="B24" s="355">
        <f t="shared" ref="B24:B25" si="2">B9</f>
        <v>0</v>
      </c>
      <c r="C24" s="290">
        <v>150.0</v>
      </c>
      <c r="D24" s="290">
        <v>100.0</v>
      </c>
      <c r="E24" s="290">
        <v>75.0</v>
      </c>
      <c r="F24" s="290">
        <v>50.0</v>
      </c>
      <c r="G24" s="290">
        <v>150.0</v>
      </c>
      <c r="H24" s="290">
        <v>100.0</v>
      </c>
      <c r="I24" s="290">
        <v>0.0</v>
      </c>
      <c r="J24" s="290">
        <v>90.0</v>
      </c>
      <c r="K24" s="290">
        <v>75.0</v>
      </c>
      <c r="L24" s="290">
        <v>111.0</v>
      </c>
      <c r="M24" s="290">
        <v>0.0</v>
      </c>
      <c r="N24" s="290">
        <v>33.0</v>
      </c>
      <c r="O24" s="353"/>
      <c r="P24" s="353"/>
      <c r="Q24" s="348"/>
      <c r="R24" s="348"/>
    </row>
    <row r="25" ht="15.75" customHeight="1">
      <c r="A25" s="355" t="s">
        <v>816</v>
      </c>
      <c r="B25" s="355">
        <f t="shared" si="2"/>
        <v>0</v>
      </c>
      <c r="C25" s="290">
        <v>0.0</v>
      </c>
      <c r="D25" s="290">
        <v>150.0</v>
      </c>
      <c r="E25" s="290">
        <v>100.0</v>
      </c>
      <c r="F25" s="290">
        <v>0.0</v>
      </c>
      <c r="G25" s="290">
        <v>51.0</v>
      </c>
      <c r="H25" s="290">
        <v>100.0</v>
      </c>
      <c r="I25" s="290">
        <v>20.0</v>
      </c>
      <c r="J25" s="290">
        <v>0.0</v>
      </c>
      <c r="K25" s="290">
        <v>45.0</v>
      </c>
      <c r="L25" s="290">
        <v>0.0</v>
      </c>
      <c r="M25" s="290">
        <v>0.0</v>
      </c>
      <c r="N25" s="290">
        <v>0.0</v>
      </c>
      <c r="O25" s="353"/>
      <c r="P25" s="353"/>
      <c r="Q25" s="348"/>
      <c r="R25" s="348"/>
    </row>
    <row r="26" ht="15.75" customHeight="1">
      <c r="A26" s="355" t="s">
        <v>836</v>
      </c>
      <c r="B26" s="355">
        <v>0.0</v>
      </c>
      <c r="C26" s="290"/>
      <c r="D26" s="290"/>
      <c r="E26" s="290"/>
      <c r="F26" s="290"/>
      <c r="G26" s="290">
        <v>87.0</v>
      </c>
      <c r="H26" s="290">
        <v>350.0</v>
      </c>
      <c r="I26" s="290">
        <v>0.0</v>
      </c>
      <c r="J26" s="290">
        <v>80.0</v>
      </c>
      <c r="K26" s="290">
        <v>0.0</v>
      </c>
      <c r="L26" s="290">
        <v>0.0</v>
      </c>
      <c r="M26" s="290">
        <v>0.0</v>
      </c>
      <c r="N26" s="290">
        <v>119.0</v>
      </c>
      <c r="O26" s="353"/>
      <c r="P26" s="353"/>
      <c r="Q26" s="348"/>
      <c r="R26" s="348"/>
    </row>
    <row r="27" ht="15.75" customHeight="1">
      <c r="A27" s="355" t="s">
        <v>817</v>
      </c>
      <c r="B27" s="355">
        <v>0.0</v>
      </c>
      <c r="C27" s="290">
        <v>0.0</v>
      </c>
      <c r="D27" s="290">
        <v>200.0</v>
      </c>
      <c r="E27" s="290">
        <v>210.0</v>
      </c>
      <c r="F27" s="290">
        <v>100.0</v>
      </c>
      <c r="G27" s="290">
        <v>0.0</v>
      </c>
      <c r="H27" s="290">
        <v>60.0</v>
      </c>
      <c r="I27" s="290">
        <v>200.0</v>
      </c>
      <c r="J27" s="290">
        <v>0.0</v>
      </c>
      <c r="K27" s="290">
        <v>0.0</v>
      </c>
      <c r="L27" s="290">
        <v>125.0</v>
      </c>
      <c r="M27" s="290">
        <v>264.0</v>
      </c>
      <c r="N27" s="290">
        <v>0.0</v>
      </c>
      <c r="O27" s="353"/>
      <c r="P27" s="353"/>
      <c r="Q27" s="348"/>
      <c r="R27" s="348"/>
    </row>
    <row r="28" ht="15.75" customHeight="1">
      <c r="A28" s="355" t="s">
        <v>790</v>
      </c>
      <c r="B28" s="355" t="s">
        <v>223</v>
      </c>
      <c r="C28" s="290"/>
      <c r="D28" s="290">
        <v>125.0</v>
      </c>
      <c r="E28" s="290">
        <v>35.0</v>
      </c>
      <c r="F28" s="290">
        <v>0.0</v>
      </c>
      <c r="G28" s="290">
        <v>50.0</v>
      </c>
      <c r="H28" s="290">
        <v>50.0</v>
      </c>
      <c r="I28" s="290">
        <v>1000.0</v>
      </c>
      <c r="J28" s="290">
        <v>80.0</v>
      </c>
      <c r="K28" s="290">
        <v>0.0</v>
      </c>
      <c r="L28" s="290">
        <v>500.0</v>
      </c>
      <c r="M28" s="290">
        <v>150.0</v>
      </c>
      <c r="N28" s="290">
        <v>80.0</v>
      </c>
      <c r="O28" s="353"/>
      <c r="P28" s="353"/>
      <c r="Q28" s="348"/>
      <c r="R28" s="348"/>
    </row>
    <row r="29" ht="15.75" customHeight="1">
      <c r="A29" s="355"/>
      <c r="B29" s="355"/>
      <c r="C29" s="290"/>
      <c r="D29" s="290"/>
      <c r="E29" s="290"/>
      <c r="F29" s="290"/>
      <c r="G29" s="290"/>
      <c r="H29" s="290"/>
      <c r="I29" s="290"/>
      <c r="J29" s="334"/>
      <c r="K29" s="290"/>
      <c r="L29" s="334"/>
      <c r="M29" s="334"/>
      <c r="N29" s="334"/>
      <c r="O29" s="353"/>
      <c r="P29" s="353"/>
      <c r="Q29" s="348"/>
      <c r="R29" s="348"/>
    </row>
    <row r="30" ht="15.75" customHeight="1">
      <c r="A30" s="355" t="s">
        <v>33</v>
      </c>
      <c r="B30" s="355"/>
      <c r="C30" s="290">
        <f t="shared" ref="C30:E30" si="3">Sum(C17:C28)</f>
        <v>2082</v>
      </c>
      <c r="D30" s="290">
        <f t="shared" si="3"/>
        <v>2694</v>
      </c>
      <c r="E30" s="290">
        <f t="shared" si="3"/>
        <v>2640</v>
      </c>
      <c r="F30" s="290">
        <f>Sum(F17:F27)</f>
        <v>2379</v>
      </c>
      <c r="G30" s="290">
        <f t="shared" ref="G30:N30" si="4">Sum(G17:G28)</f>
        <v>2521</v>
      </c>
      <c r="H30" s="290">
        <f t="shared" si="4"/>
        <v>2839</v>
      </c>
      <c r="I30" s="290">
        <f t="shared" si="4"/>
        <v>3153</v>
      </c>
      <c r="J30" s="334">
        <f t="shared" si="4"/>
        <v>3526</v>
      </c>
      <c r="K30" s="334">
        <f t="shared" si="4"/>
        <v>2500</v>
      </c>
      <c r="L30" s="334">
        <f t="shared" si="4"/>
        <v>2797</v>
      </c>
      <c r="M30" s="334">
        <f t="shared" si="4"/>
        <v>2928</v>
      </c>
      <c r="N30" s="334">
        <f t="shared" si="4"/>
        <v>2660</v>
      </c>
      <c r="O30" s="353"/>
      <c r="P30" s="353"/>
      <c r="Q30" s="348"/>
      <c r="R30" s="348"/>
    </row>
    <row r="31" ht="15.75" customHeight="1">
      <c r="A31" s="345"/>
      <c r="B31" s="345"/>
      <c r="C31" s="346"/>
      <c r="D31" s="346"/>
      <c r="E31" s="346"/>
      <c r="F31" s="346"/>
      <c r="G31" s="346"/>
      <c r="H31" s="346"/>
      <c r="I31" s="346"/>
      <c r="J31" s="356"/>
      <c r="K31" s="346"/>
      <c r="L31" s="346"/>
      <c r="M31" s="346">
        <f>M16-M30</f>
        <v>12</v>
      </c>
      <c r="N31" s="346"/>
      <c r="O31" s="353"/>
      <c r="P31" s="353"/>
      <c r="Q31" s="348"/>
      <c r="R31" s="348"/>
    </row>
    <row r="32" ht="15.75" customHeight="1">
      <c r="A32" s="357" t="s">
        <v>822</v>
      </c>
      <c r="B32" s="357" t="s">
        <v>223</v>
      </c>
      <c r="C32" s="337">
        <f t="shared" ref="C32:D32" si="5">Sum(C15,C30)</f>
        <v>3928</v>
      </c>
      <c r="D32" s="337">
        <f t="shared" si="5"/>
        <v>7718</v>
      </c>
      <c r="E32" s="337">
        <f t="shared" ref="E32:N32" si="6">Sum(E1:E29)</f>
        <v>7452</v>
      </c>
      <c r="F32" s="337">
        <f t="shared" si="6"/>
        <v>9539</v>
      </c>
      <c r="G32" s="337">
        <f t="shared" si="6"/>
        <v>7861</v>
      </c>
      <c r="H32" s="337">
        <f t="shared" si="6"/>
        <v>7263</v>
      </c>
      <c r="I32" s="337">
        <f t="shared" si="6"/>
        <v>10481</v>
      </c>
      <c r="J32" s="358">
        <f t="shared" si="6"/>
        <v>9184</v>
      </c>
      <c r="K32" s="337">
        <f t="shared" si="6"/>
        <v>10498</v>
      </c>
      <c r="L32" s="337">
        <f t="shared" si="6"/>
        <v>7535</v>
      </c>
      <c r="M32" s="337">
        <f t="shared" si="6"/>
        <v>14835</v>
      </c>
      <c r="N32" s="337">
        <f t="shared" si="6"/>
        <v>10388</v>
      </c>
      <c r="O32" s="353"/>
      <c r="P32" s="353"/>
      <c r="Q32" s="348"/>
      <c r="R32" s="348"/>
    </row>
    <row r="33" ht="15.75" customHeight="1">
      <c r="A33" s="359"/>
      <c r="B33" s="359"/>
      <c r="C33" s="167"/>
      <c r="D33" s="265"/>
      <c r="E33" s="265"/>
      <c r="F33" s="265"/>
      <c r="G33" s="265"/>
      <c r="H33" s="265"/>
      <c r="I33" s="265"/>
      <c r="J33" s="265"/>
      <c r="K33" s="265"/>
      <c r="L33" s="265"/>
      <c r="M33" s="265"/>
      <c r="N33" s="167"/>
      <c r="O33" s="353"/>
      <c r="P33" s="353"/>
      <c r="Q33" s="348"/>
      <c r="R33" s="348"/>
    </row>
    <row r="34" ht="15.75" customHeight="1">
      <c r="A34" s="359"/>
      <c r="B34" s="359"/>
      <c r="C34" s="167"/>
      <c r="D34" s="265"/>
      <c r="E34" s="265"/>
      <c r="F34" s="265"/>
      <c r="G34" s="265"/>
      <c r="H34" s="265"/>
      <c r="I34" s="265"/>
      <c r="J34" s="265"/>
      <c r="K34" s="265"/>
      <c r="L34" s="265"/>
      <c r="M34" s="265"/>
      <c r="N34" s="167"/>
      <c r="O34" s="353"/>
      <c r="P34" s="353"/>
      <c r="Q34" s="348"/>
      <c r="R34" s="348"/>
    </row>
    <row r="35" ht="15.75" customHeight="1">
      <c r="A35" s="359"/>
      <c r="B35" s="359"/>
      <c r="C35" s="265"/>
      <c r="D35" s="265"/>
      <c r="E35" s="265"/>
      <c r="F35" s="265"/>
      <c r="G35" s="265"/>
      <c r="H35" s="265"/>
      <c r="I35" s="265"/>
      <c r="J35" s="265"/>
      <c r="K35" s="265"/>
      <c r="L35" s="265"/>
      <c r="M35" s="265"/>
      <c r="N35" s="167"/>
      <c r="O35" s="353"/>
      <c r="P35" s="353"/>
      <c r="Q35" s="348"/>
      <c r="R35" s="348"/>
    </row>
    <row r="36" ht="15.75" customHeight="1">
      <c r="A36" s="359"/>
      <c r="B36" s="359"/>
      <c r="C36" s="265"/>
      <c r="D36" s="265"/>
      <c r="E36" s="265"/>
      <c r="F36" s="265"/>
      <c r="G36" s="265"/>
      <c r="H36" s="265"/>
      <c r="I36" s="265"/>
      <c r="J36" s="265"/>
      <c r="K36" s="265"/>
      <c r="L36" s="265"/>
      <c r="M36" s="265"/>
      <c r="N36" s="167"/>
      <c r="O36" s="353"/>
      <c r="P36" s="353"/>
      <c r="Q36" s="348"/>
      <c r="R36" s="348"/>
    </row>
    <row r="37" ht="15.75" customHeight="1">
      <c r="A37" s="347"/>
      <c r="B37" s="347"/>
      <c r="C37" s="335"/>
      <c r="D37" s="335"/>
      <c r="E37" s="335"/>
      <c r="F37" s="335"/>
      <c r="G37" s="335"/>
      <c r="H37" s="335"/>
      <c r="I37" s="335"/>
      <c r="J37" s="335"/>
      <c r="K37" s="335"/>
      <c r="L37" s="335"/>
      <c r="M37" s="335"/>
      <c r="N37" s="335"/>
      <c r="O37" s="353"/>
      <c r="P37" s="353"/>
      <c r="Q37" s="348"/>
      <c r="R37" s="348"/>
    </row>
    <row r="38" ht="15.75" customHeight="1">
      <c r="A38" s="359"/>
      <c r="B38" s="359"/>
      <c r="C38" s="265"/>
      <c r="D38" s="265"/>
      <c r="E38" s="265"/>
      <c r="F38" s="265"/>
      <c r="G38" s="167"/>
      <c r="H38" s="265"/>
      <c r="I38" s="265"/>
      <c r="J38" s="265"/>
      <c r="K38" s="265"/>
      <c r="L38" s="265"/>
      <c r="M38" s="265"/>
      <c r="N38" s="167"/>
      <c r="O38" s="353"/>
      <c r="P38" s="353"/>
      <c r="Q38" s="348"/>
      <c r="R38" s="348"/>
    </row>
    <row r="39" ht="15.75" customHeight="1">
      <c r="A39" s="359"/>
      <c r="B39" s="359"/>
      <c r="C39" s="265"/>
      <c r="D39" s="167"/>
      <c r="E39" s="167"/>
      <c r="F39" s="167"/>
      <c r="G39" s="167"/>
      <c r="H39" s="167"/>
      <c r="I39" s="167"/>
      <c r="J39" s="167"/>
      <c r="K39" s="167"/>
      <c r="L39" s="167"/>
      <c r="M39" s="167"/>
      <c r="N39" s="167"/>
      <c r="O39" s="353"/>
      <c r="P39" s="353"/>
      <c r="Q39" s="348"/>
      <c r="R39" s="348"/>
    </row>
    <row r="40" ht="15.75" customHeight="1">
      <c r="A40" s="359"/>
      <c r="B40" s="359"/>
      <c r="C40" s="265"/>
      <c r="D40" s="265"/>
      <c r="E40" s="265"/>
      <c r="F40" s="265"/>
      <c r="G40" s="265"/>
      <c r="H40" s="265"/>
      <c r="I40" s="265"/>
      <c r="J40" s="265"/>
      <c r="K40" s="265"/>
      <c r="L40" s="265"/>
      <c r="M40" s="265"/>
      <c r="N40" s="265"/>
      <c r="O40" s="359"/>
      <c r="P40" s="359"/>
      <c r="Q40" s="348"/>
      <c r="R40" s="348"/>
    </row>
    <row r="41" ht="15.75" customHeight="1">
      <c r="A41" s="359"/>
      <c r="B41" s="359"/>
      <c r="C41" s="265"/>
      <c r="D41" s="167"/>
      <c r="E41" s="167"/>
      <c r="F41" s="167"/>
      <c r="G41" s="167"/>
      <c r="H41" s="167"/>
      <c r="I41" s="167"/>
      <c r="J41" s="167"/>
      <c r="K41" s="167"/>
      <c r="L41" s="167"/>
      <c r="M41" s="167"/>
      <c r="N41" s="167"/>
      <c r="O41" s="353"/>
      <c r="P41" s="353"/>
      <c r="Q41" s="348"/>
      <c r="R41" s="348"/>
    </row>
    <row r="42" ht="15.75" customHeight="1">
      <c r="A42" s="348"/>
      <c r="B42" s="348"/>
      <c r="C42" s="348"/>
      <c r="D42" s="348"/>
      <c r="E42" s="348"/>
      <c r="F42" s="348"/>
      <c r="G42" s="348"/>
      <c r="H42" s="348"/>
      <c r="I42" s="348"/>
      <c r="J42" s="348"/>
      <c r="K42" s="348"/>
      <c r="L42" s="348"/>
      <c r="M42" s="348"/>
      <c r="N42" s="348"/>
      <c r="O42" s="353"/>
      <c r="P42" s="353"/>
      <c r="Q42" s="348"/>
      <c r="R42" s="348"/>
    </row>
    <row r="43" ht="15.75" customHeight="1">
      <c r="O43" s="37"/>
      <c r="P43" s="37"/>
    </row>
    <row r="44" ht="15.75" customHeight="1">
      <c r="A44" s="207" t="s">
        <v>868</v>
      </c>
      <c r="B44" s="207"/>
      <c r="C44" s="207" t="s">
        <v>851</v>
      </c>
      <c r="D44" s="207" t="s">
        <v>852</v>
      </c>
      <c r="E44" s="207" t="s">
        <v>853</v>
      </c>
      <c r="F44" s="207" t="s">
        <v>854</v>
      </c>
      <c r="G44" s="207" t="s">
        <v>855</v>
      </c>
      <c r="H44" s="207" t="s">
        <v>856</v>
      </c>
      <c r="I44" s="207" t="s">
        <v>857</v>
      </c>
      <c r="J44" s="207" t="s">
        <v>858</v>
      </c>
      <c r="K44" s="207" t="s">
        <v>859</v>
      </c>
      <c r="L44" s="207" t="s">
        <v>860</v>
      </c>
      <c r="M44" s="207" t="s">
        <v>861</v>
      </c>
      <c r="N44" s="207" t="s">
        <v>862</v>
      </c>
      <c r="O44" s="37"/>
      <c r="P44" s="37"/>
    </row>
    <row r="45" ht="15.75" customHeight="1">
      <c r="O45" s="37"/>
      <c r="P45" s="37"/>
    </row>
    <row r="46" ht="15.75" customHeight="1">
      <c r="A46" s="207" t="s">
        <v>808</v>
      </c>
      <c r="E46" s="207">
        <v>328.5</v>
      </c>
      <c r="F46" s="207">
        <v>328.5</v>
      </c>
      <c r="G46" s="207">
        <v>328.5</v>
      </c>
      <c r="H46" s="207">
        <v>569.26</v>
      </c>
      <c r="I46" s="207">
        <v>592.5</v>
      </c>
      <c r="J46" s="207">
        <v>592.5</v>
      </c>
      <c r="K46" s="207">
        <v>604.5</v>
      </c>
      <c r="L46" s="207">
        <v>604.5</v>
      </c>
      <c r="M46" s="207">
        <v>604.5</v>
      </c>
      <c r="N46" s="207">
        <v>604.5</v>
      </c>
      <c r="O46" s="37"/>
      <c r="P46" s="37"/>
    </row>
    <row r="47" ht="15.75" customHeight="1">
      <c r="A47" s="207"/>
      <c r="O47" s="37"/>
      <c r="P47" s="37"/>
    </row>
    <row r="48" ht="15.75" customHeight="1">
      <c r="A48" s="207" t="s">
        <v>869</v>
      </c>
      <c r="E48" s="207">
        <v>328.5</v>
      </c>
      <c r="F48" s="207">
        <v>328.5</v>
      </c>
      <c r="G48" s="207">
        <v>328.5</v>
      </c>
      <c r="H48" s="207">
        <v>569.26</v>
      </c>
      <c r="I48" s="207">
        <v>592.5</v>
      </c>
      <c r="J48" s="207">
        <v>592.5</v>
      </c>
      <c r="K48" s="207">
        <v>604.5</v>
      </c>
      <c r="L48" s="207">
        <v>604.5</v>
      </c>
      <c r="M48" s="207">
        <v>604.5</v>
      </c>
      <c r="N48" s="130">
        <v>0.0</v>
      </c>
      <c r="O48" s="37"/>
      <c r="P48" s="37"/>
    </row>
    <row r="49" ht="15.75" customHeight="1">
      <c r="A49" s="207"/>
      <c r="F49" s="207">
        <v>50.0</v>
      </c>
      <c r="O49" s="37"/>
      <c r="P49" s="37"/>
    </row>
    <row r="50" ht="15.75" customHeight="1">
      <c r="A50" s="207" t="s">
        <v>870</v>
      </c>
      <c r="E50" s="207">
        <f>Sum(E46,E48)</f>
        <v>657</v>
      </c>
      <c r="F50" s="207">
        <v>707.0</v>
      </c>
      <c r="G50" s="207">
        <v>657.0</v>
      </c>
      <c r="H50" s="207">
        <f>Sum(H46:H48)</f>
        <v>1138.52</v>
      </c>
      <c r="I50" s="207">
        <v>1185.0</v>
      </c>
      <c r="J50" s="207">
        <v>1185.0</v>
      </c>
      <c r="K50" s="207">
        <v>1209.0</v>
      </c>
      <c r="L50" s="207">
        <v>1209.0</v>
      </c>
      <c r="M50" s="207">
        <v>1209.0</v>
      </c>
      <c r="N50" s="130">
        <v>604.5</v>
      </c>
      <c r="O50" s="37"/>
      <c r="P50" s="37"/>
    </row>
    <row r="51" ht="15.75" customHeight="1">
      <c r="O51" s="37"/>
      <c r="P51" s="37"/>
    </row>
    <row r="52" ht="15.75" customHeight="1">
      <c r="E52" s="130">
        <v>171.5</v>
      </c>
      <c r="O52" s="37"/>
      <c r="P52" s="37"/>
    </row>
    <row r="53" ht="15.75" customHeight="1">
      <c r="E53" s="130">
        <v>200.0</v>
      </c>
      <c r="F53" s="130">
        <v>100.0</v>
      </c>
      <c r="G53" s="130">
        <v>100.0</v>
      </c>
      <c r="H53" s="130">
        <v>100.0</v>
      </c>
      <c r="I53" s="130">
        <v>100.0</v>
      </c>
      <c r="J53" s="130">
        <v>100.0</v>
      </c>
      <c r="K53" s="130">
        <v>100.0</v>
      </c>
      <c r="L53" s="130">
        <v>100.0</v>
      </c>
      <c r="M53" s="130">
        <v>100.0</v>
      </c>
      <c r="N53" s="130">
        <v>100.0</v>
      </c>
      <c r="O53" s="37"/>
      <c r="P53" s="37"/>
    </row>
    <row r="54" ht="15.75" customHeight="1">
      <c r="O54" s="37"/>
      <c r="P54" s="37"/>
    </row>
    <row r="55" ht="15.75" customHeight="1">
      <c r="O55" s="37"/>
      <c r="P55" s="37"/>
    </row>
    <row r="56" ht="15.75" customHeight="1">
      <c r="A56" s="207" t="s">
        <v>868</v>
      </c>
      <c r="B56" s="207"/>
      <c r="C56" s="207" t="s">
        <v>871</v>
      </c>
      <c r="D56" s="207"/>
      <c r="E56" s="207"/>
      <c r="F56" s="207"/>
      <c r="G56" s="207" t="s">
        <v>872</v>
      </c>
      <c r="H56" s="207"/>
      <c r="O56" s="37"/>
      <c r="P56" s="37"/>
    </row>
    <row r="57" ht="15.75" customHeight="1">
      <c r="A57" s="207"/>
      <c r="B57" s="207" t="s">
        <v>873</v>
      </c>
      <c r="C57" s="207" t="s">
        <v>874</v>
      </c>
      <c r="D57" s="207" t="s">
        <v>875</v>
      </c>
      <c r="E57" s="207"/>
      <c r="F57" s="207" t="s">
        <v>873</v>
      </c>
      <c r="G57" s="207" t="s">
        <v>874</v>
      </c>
      <c r="H57" s="207" t="s">
        <v>875</v>
      </c>
      <c r="O57" s="37"/>
      <c r="P57" s="37"/>
    </row>
    <row r="58" ht="15.75" customHeight="1">
      <c r="A58" s="207"/>
      <c r="B58" s="207"/>
      <c r="C58" s="207"/>
      <c r="D58" s="207"/>
      <c r="E58" s="207"/>
      <c r="F58" s="207"/>
      <c r="G58" s="207"/>
      <c r="H58" s="207"/>
      <c r="O58" s="37"/>
      <c r="P58" s="37"/>
    </row>
    <row r="59" ht="15.75" customHeight="1">
      <c r="A59" s="207" t="s">
        <v>876</v>
      </c>
      <c r="B59" s="360">
        <v>853.0</v>
      </c>
      <c r="C59" s="360">
        <v>657.0</v>
      </c>
      <c r="D59" s="360">
        <v>469.0</v>
      </c>
      <c r="E59" s="207"/>
      <c r="F59" s="360">
        <v>738.0</v>
      </c>
      <c r="G59" s="360">
        <v>568.0</v>
      </c>
      <c r="H59" s="360">
        <v>406.0</v>
      </c>
      <c r="O59" s="37"/>
      <c r="P59" s="37"/>
    </row>
    <row r="60" ht="15.75" customHeight="1">
      <c r="A60" s="207"/>
      <c r="B60" s="207"/>
      <c r="C60" s="207"/>
      <c r="D60" s="207"/>
      <c r="E60" s="207"/>
      <c r="F60" s="207"/>
      <c r="G60" s="207"/>
      <c r="H60" s="207"/>
      <c r="O60" s="37"/>
      <c r="P60" s="37"/>
    </row>
    <row r="61" ht="15.75" customHeight="1">
      <c r="A61" s="207" t="s">
        <v>877</v>
      </c>
      <c r="B61" s="360">
        <v>1185.0</v>
      </c>
      <c r="C61" s="360">
        <v>912.0</v>
      </c>
      <c r="D61" s="360">
        <v>652.0</v>
      </c>
      <c r="E61" s="207"/>
      <c r="F61" s="360">
        <v>1025.0</v>
      </c>
      <c r="G61" s="360">
        <v>789.0</v>
      </c>
      <c r="H61" s="360">
        <v>564.0</v>
      </c>
      <c r="O61" s="37"/>
      <c r="P61" s="37"/>
    </row>
    <row r="62" ht="15.75" customHeight="1">
      <c r="A62" s="207"/>
      <c r="B62" s="207"/>
      <c r="C62" s="207"/>
      <c r="D62" s="207"/>
      <c r="E62" s="207"/>
      <c r="F62" s="207"/>
      <c r="G62" s="207"/>
      <c r="H62" s="207"/>
      <c r="O62" s="37"/>
      <c r="P62" s="37"/>
    </row>
    <row r="63" ht="15.75" customHeight="1">
      <c r="A63" s="207" t="s">
        <v>878</v>
      </c>
      <c r="B63" s="207"/>
      <c r="C63" s="360">
        <v>75.0</v>
      </c>
      <c r="D63" s="207"/>
      <c r="E63" s="207"/>
      <c r="F63" s="207"/>
      <c r="G63" s="360">
        <v>69.0</v>
      </c>
      <c r="H63" s="207"/>
      <c r="O63" s="37"/>
      <c r="P63" s="37"/>
    </row>
    <row r="64" ht="15.75" customHeight="1">
      <c r="A64" s="207"/>
      <c r="B64" s="207"/>
      <c r="C64" s="207"/>
      <c r="D64" s="207"/>
      <c r="E64" s="207"/>
      <c r="F64" s="207"/>
      <c r="G64" s="207"/>
      <c r="H64" s="207"/>
      <c r="O64" s="37"/>
      <c r="P64" s="37"/>
    </row>
    <row r="65" ht="15.75" customHeight="1">
      <c r="O65" s="37"/>
      <c r="P65" s="37"/>
    </row>
    <row r="66" ht="15.75" customHeight="1">
      <c r="O66" s="37"/>
      <c r="P66" s="37"/>
    </row>
    <row r="67" ht="15.75" customHeight="1">
      <c r="O67" s="37"/>
      <c r="P67" s="37"/>
    </row>
    <row r="68" ht="15.75" customHeight="1">
      <c r="O68" s="37"/>
      <c r="P68" s="37"/>
    </row>
    <row r="69" ht="15.75" customHeight="1">
      <c r="O69" s="37"/>
      <c r="P69" s="37"/>
    </row>
    <row r="70" ht="15.75" customHeight="1">
      <c r="O70" s="37"/>
      <c r="P70" s="37"/>
    </row>
    <row r="71" ht="15.75" customHeight="1">
      <c r="O71" s="37"/>
      <c r="P71" s="37"/>
    </row>
    <row r="72" ht="15.75" customHeight="1">
      <c r="O72" s="37"/>
      <c r="P72" s="37"/>
    </row>
    <row r="73" ht="15.75" customHeight="1">
      <c r="O73" s="37"/>
      <c r="P73" s="37"/>
    </row>
    <row r="74" ht="15.75" customHeight="1">
      <c r="O74" s="37"/>
      <c r="P74" s="37"/>
    </row>
    <row r="75" ht="15.75" customHeight="1">
      <c r="O75" s="37"/>
      <c r="P75" s="37"/>
    </row>
    <row r="76" ht="15.75" customHeight="1">
      <c r="O76" s="37"/>
      <c r="P76" s="37"/>
    </row>
    <row r="77" ht="15.75" customHeight="1">
      <c r="O77" s="37"/>
      <c r="P77" s="37"/>
    </row>
    <row r="78" ht="15.75" customHeight="1">
      <c r="O78" s="37"/>
      <c r="P78" s="37"/>
    </row>
    <row r="79" ht="15.75" customHeight="1">
      <c r="O79" s="37"/>
      <c r="P79" s="37"/>
    </row>
    <row r="80" ht="15.75" customHeight="1">
      <c r="O80" s="37"/>
      <c r="P80" s="37"/>
    </row>
    <row r="81" ht="15.75" customHeight="1">
      <c r="O81" s="37"/>
      <c r="P81" s="37"/>
    </row>
    <row r="82" ht="15.75" customHeight="1">
      <c r="O82" s="37"/>
      <c r="P82" s="37"/>
    </row>
    <row r="83" ht="15.75" customHeight="1">
      <c r="O83" s="37"/>
      <c r="P83" s="37"/>
    </row>
    <row r="84" ht="15.75" customHeight="1">
      <c r="O84" s="37"/>
      <c r="P84" s="37"/>
    </row>
    <row r="85" ht="15.75" customHeight="1">
      <c r="O85" s="37"/>
      <c r="P85" s="37"/>
    </row>
    <row r="86" ht="15.75" customHeight="1">
      <c r="O86" s="37"/>
      <c r="P86" s="37"/>
    </row>
    <row r="87" ht="15.75" customHeight="1">
      <c r="O87" s="37"/>
      <c r="P87" s="37"/>
    </row>
    <row r="88" ht="15.75" customHeight="1">
      <c r="O88" s="37"/>
      <c r="P88" s="37"/>
    </row>
    <row r="89" ht="15.75" customHeight="1">
      <c r="O89" s="37"/>
      <c r="P89" s="37"/>
    </row>
    <row r="90" ht="15.75" customHeight="1">
      <c r="O90" s="37"/>
      <c r="P90" s="37"/>
    </row>
    <row r="91" ht="15.75" customHeight="1">
      <c r="O91" s="37"/>
      <c r="P91" s="37"/>
    </row>
    <row r="92" ht="15.75" customHeight="1">
      <c r="O92" s="37"/>
      <c r="P92" s="37"/>
    </row>
    <row r="93" ht="15.75" customHeight="1">
      <c r="O93" s="37"/>
      <c r="P93" s="37"/>
    </row>
    <row r="94" ht="15.75" customHeight="1">
      <c r="O94" s="37"/>
      <c r="P94" s="37"/>
    </row>
    <row r="95" ht="15.75" customHeight="1">
      <c r="O95" s="37"/>
      <c r="P95" s="37"/>
    </row>
    <row r="96" ht="15.75" customHeight="1">
      <c r="O96" s="37"/>
      <c r="P96" s="37"/>
    </row>
    <row r="97" ht="15.75" customHeight="1">
      <c r="O97" s="37"/>
      <c r="P97" s="37"/>
    </row>
    <row r="98" ht="15.75" customHeight="1">
      <c r="O98" s="37"/>
      <c r="P98" s="37"/>
    </row>
    <row r="99" ht="15.75" customHeight="1">
      <c r="O99" s="37"/>
      <c r="P99" s="37"/>
    </row>
    <row r="100" ht="15.75" customHeight="1">
      <c r="O100" s="37"/>
      <c r="P100" s="37"/>
    </row>
    <row r="101" ht="15.75" customHeight="1">
      <c r="O101" s="37"/>
      <c r="P101" s="37"/>
    </row>
    <row r="102" ht="15.75" customHeight="1">
      <c r="O102" s="37"/>
      <c r="P102" s="37"/>
    </row>
    <row r="103" ht="15.75" customHeight="1">
      <c r="O103" s="37"/>
      <c r="P103" s="37"/>
    </row>
    <row r="104" ht="15.75" customHeight="1">
      <c r="O104" s="37"/>
      <c r="P104" s="37"/>
    </row>
    <row r="105" ht="15.75" customHeight="1">
      <c r="O105" s="37"/>
      <c r="P105" s="37"/>
    </row>
    <row r="106" ht="15.75" customHeight="1">
      <c r="O106" s="37"/>
      <c r="P106" s="37"/>
    </row>
    <row r="107" ht="15.75" customHeight="1">
      <c r="O107" s="37"/>
      <c r="P107" s="37"/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63"/>
    <col customWidth="1" min="2" max="2" width="12.5"/>
    <col customWidth="1" min="3" max="3" width="8.5"/>
    <col customWidth="1" min="4" max="4" width="9.0"/>
    <col customWidth="1" min="5" max="5" width="9.25"/>
    <col customWidth="1" min="6" max="7" width="9.5"/>
    <col customWidth="1" min="8" max="8" width="8.5"/>
    <col customWidth="1" min="9" max="9" width="7.88"/>
    <col customWidth="1" min="10" max="10" width="9.5"/>
    <col customWidth="1" min="11" max="11" width="9.25"/>
    <col customWidth="1" min="12" max="12" width="8.88"/>
    <col customWidth="1" min="13" max="13" width="9.38"/>
    <col customWidth="1" min="14" max="14" width="32.25"/>
    <col customWidth="1" min="15" max="26" width="15.13"/>
  </cols>
  <sheetData>
    <row r="1" ht="15.75" customHeight="1">
      <c r="A1" s="361" t="s">
        <v>879</v>
      </c>
      <c r="B1" s="361" t="s">
        <v>850</v>
      </c>
      <c r="C1" s="361" t="s">
        <v>880</v>
      </c>
      <c r="D1" s="361" t="s">
        <v>881</v>
      </c>
      <c r="E1" s="361" t="s">
        <v>882</v>
      </c>
      <c r="F1" s="361" t="s">
        <v>883</v>
      </c>
      <c r="G1" s="361" t="s">
        <v>884</v>
      </c>
      <c r="H1" s="361" t="s">
        <v>885</v>
      </c>
      <c r="I1" s="361" t="s">
        <v>886</v>
      </c>
      <c r="J1" s="361" t="s">
        <v>887</v>
      </c>
      <c r="K1" s="361" t="s">
        <v>888</v>
      </c>
      <c r="L1" s="361" t="s">
        <v>889</v>
      </c>
      <c r="M1" s="361" t="s">
        <v>890</v>
      </c>
      <c r="N1" s="361" t="s">
        <v>891</v>
      </c>
      <c r="O1" s="362"/>
    </row>
    <row r="2" ht="15.75" customHeight="1">
      <c r="N2" s="130" t="s">
        <v>867</v>
      </c>
      <c r="O2" s="37"/>
    </row>
    <row r="3" ht="15.75" customHeight="1">
      <c r="A3" s="363" t="s">
        <v>809</v>
      </c>
      <c r="B3" s="363">
        <v>251040.0</v>
      </c>
      <c r="C3" s="363">
        <v>784.0</v>
      </c>
      <c r="D3" s="363">
        <v>784.0</v>
      </c>
      <c r="E3" s="363">
        <v>784.0</v>
      </c>
      <c r="F3" s="363">
        <v>784.0</v>
      </c>
      <c r="G3" s="363">
        <v>784.0</v>
      </c>
      <c r="H3" s="363">
        <v>784.0</v>
      </c>
      <c r="I3" s="363">
        <v>784.0</v>
      </c>
      <c r="J3" s="363">
        <v>784.0</v>
      </c>
      <c r="K3" s="363">
        <v>784.0</v>
      </c>
      <c r="L3" s="363">
        <v>784.0</v>
      </c>
      <c r="M3" s="363">
        <v>784.0</v>
      </c>
      <c r="N3" s="363">
        <v>784.0</v>
      </c>
      <c r="O3" s="227" t="s">
        <v>223</v>
      </c>
    </row>
    <row r="4" ht="15.75" customHeight="1">
      <c r="A4" s="363" t="s">
        <v>863</v>
      </c>
      <c r="B4" s="363">
        <v>23500.0</v>
      </c>
      <c r="C4" s="363">
        <v>0.0</v>
      </c>
      <c r="D4" s="363">
        <v>0.0</v>
      </c>
      <c r="E4" s="363">
        <v>0.0</v>
      </c>
      <c r="F4" s="363">
        <v>0.0</v>
      </c>
      <c r="G4" s="363">
        <v>0.0</v>
      </c>
      <c r="H4" s="363">
        <v>0.0</v>
      </c>
      <c r="I4" s="363">
        <v>0.0</v>
      </c>
      <c r="J4" s="363">
        <v>0.0</v>
      </c>
      <c r="K4" s="363">
        <v>0.0</v>
      </c>
      <c r="L4" s="363">
        <v>0.0</v>
      </c>
      <c r="M4" s="363">
        <v>0.0</v>
      </c>
      <c r="N4" s="363" t="s">
        <v>892</v>
      </c>
      <c r="O4" s="227">
        <v>23500.0</v>
      </c>
    </row>
    <row r="5" ht="15.75" customHeight="1">
      <c r="A5" s="363" t="s">
        <v>893</v>
      </c>
      <c r="B5" s="363" t="s">
        <v>223</v>
      </c>
      <c r="C5" s="363">
        <v>99.0</v>
      </c>
      <c r="D5" s="363">
        <v>99.0</v>
      </c>
      <c r="E5" s="363">
        <v>0.0</v>
      </c>
      <c r="F5" s="363">
        <v>0.0</v>
      </c>
      <c r="G5" s="363">
        <v>99.0</v>
      </c>
      <c r="H5" s="363">
        <v>99.0</v>
      </c>
      <c r="I5" s="363">
        <v>99.0</v>
      </c>
      <c r="J5" s="363">
        <v>0.0</v>
      </c>
      <c r="K5" s="363">
        <v>99.0</v>
      </c>
      <c r="L5" s="363">
        <v>0.0</v>
      </c>
      <c r="M5" s="363">
        <v>198.0</v>
      </c>
      <c r="N5" s="364">
        <v>99.0</v>
      </c>
      <c r="O5" s="227" t="s">
        <v>223</v>
      </c>
    </row>
    <row r="6" ht="15.75" customHeight="1">
      <c r="A6" s="363" t="s">
        <v>709</v>
      </c>
      <c r="B6" s="363" t="s">
        <v>223</v>
      </c>
      <c r="C6" s="363">
        <v>180.0</v>
      </c>
      <c r="D6" s="363">
        <v>180.0</v>
      </c>
      <c r="E6" s="363">
        <v>180.0</v>
      </c>
      <c r="F6" s="363">
        <v>155.0</v>
      </c>
      <c r="G6" s="363">
        <v>114.0</v>
      </c>
      <c r="H6" s="363">
        <v>140.0</v>
      </c>
      <c r="I6" s="363">
        <v>140.0</v>
      </c>
      <c r="J6" s="363">
        <v>140.0</v>
      </c>
      <c r="K6" s="363">
        <v>140.0</v>
      </c>
      <c r="L6" s="363">
        <v>170.0</v>
      </c>
      <c r="M6" s="363">
        <v>170.0</v>
      </c>
      <c r="N6" s="363">
        <v>162.0</v>
      </c>
      <c r="O6" s="227" t="s">
        <v>223</v>
      </c>
    </row>
    <row r="7" ht="15.75" customHeight="1">
      <c r="A7" s="363" t="s">
        <v>894</v>
      </c>
      <c r="B7" s="363">
        <v>115.0</v>
      </c>
      <c r="C7" s="363"/>
      <c r="D7" s="363"/>
      <c r="E7" s="363"/>
      <c r="F7" s="363"/>
      <c r="G7" s="363"/>
      <c r="H7" s="363"/>
      <c r="I7" s="363"/>
      <c r="J7" s="363"/>
      <c r="K7" s="363"/>
      <c r="L7" s="363"/>
      <c r="M7" s="363"/>
      <c r="N7" s="363"/>
      <c r="O7" s="227">
        <v>115.0</v>
      </c>
    </row>
    <row r="8" ht="15.75" customHeight="1">
      <c r="A8" s="227"/>
      <c r="B8" s="227"/>
      <c r="C8" s="227"/>
      <c r="D8" s="227"/>
      <c r="E8" s="227"/>
      <c r="F8" s="227"/>
      <c r="G8" s="227"/>
      <c r="H8" s="227"/>
      <c r="I8" s="227"/>
      <c r="J8" s="227"/>
      <c r="K8" s="227"/>
      <c r="L8" s="227"/>
      <c r="M8" s="227"/>
      <c r="N8" s="227"/>
      <c r="O8" s="227">
        <v>0.0</v>
      </c>
    </row>
    <row r="9" ht="15.75" customHeight="1">
      <c r="A9" s="363" t="s">
        <v>895</v>
      </c>
      <c r="B9" s="363">
        <v>0.0</v>
      </c>
      <c r="C9" s="363">
        <v>100.0</v>
      </c>
      <c r="D9" s="363">
        <v>100.0</v>
      </c>
      <c r="E9" s="363">
        <v>100.0</v>
      </c>
      <c r="F9" s="363">
        <v>100.0</v>
      </c>
      <c r="G9" s="363">
        <v>100.0</v>
      </c>
      <c r="H9" s="363">
        <v>100.0</v>
      </c>
      <c r="I9" s="363">
        <v>100.0</v>
      </c>
      <c r="J9" s="363">
        <v>100.0</v>
      </c>
      <c r="K9" s="363">
        <v>100.0</v>
      </c>
      <c r="L9" s="363">
        <v>100.0</v>
      </c>
      <c r="M9" s="363">
        <v>100.0</v>
      </c>
      <c r="N9" s="363" t="s">
        <v>896</v>
      </c>
      <c r="O9" s="227"/>
    </row>
    <row r="10" ht="15.75" customHeight="1">
      <c r="A10" s="363" t="s">
        <v>897</v>
      </c>
      <c r="B10" s="363">
        <v>0.0</v>
      </c>
      <c r="C10" s="363"/>
      <c r="D10" s="363"/>
      <c r="E10" s="363"/>
      <c r="F10" s="363"/>
      <c r="G10" s="364"/>
      <c r="H10" s="363">
        <v>0.0</v>
      </c>
      <c r="I10" s="363">
        <v>0.0</v>
      </c>
      <c r="J10" s="363">
        <v>0.0</v>
      </c>
      <c r="K10" s="363">
        <v>25.0</v>
      </c>
      <c r="L10" s="363">
        <v>25.0</v>
      </c>
      <c r="M10" s="363">
        <v>25.0</v>
      </c>
      <c r="N10" s="363" t="s">
        <v>898</v>
      </c>
      <c r="O10" s="227">
        <v>0.0</v>
      </c>
    </row>
    <row r="11" ht="15.75" customHeight="1">
      <c r="A11" s="363" t="s">
        <v>899</v>
      </c>
      <c r="B11" s="363">
        <v>0.0</v>
      </c>
      <c r="C11" s="363">
        <v>952.0</v>
      </c>
      <c r="D11" s="363">
        <v>0.0</v>
      </c>
      <c r="E11" s="363">
        <v>952.0</v>
      </c>
      <c r="F11" s="363">
        <v>952.0</v>
      </c>
      <c r="G11" s="363">
        <v>0.0</v>
      </c>
      <c r="H11" s="363">
        <v>0.0</v>
      </c>
      <c r="I11" s="363">
        <v>502.0</v>
      </c>
      <c r="J11" s="363">
        <v>0.0</v>
      </c>
      <c r="K11" s="363">
        <v>0.0</v>
      </c>
      <c r="L11" s="363">
        <v>0.0</v>
      </c>
      <c r="M11" s="363">
        <v>0.0</v>
      </c>
      <c r="N11" s="363">
        <v>0.0</v>
      </c>
      <c r="O11" s="227">
        <v>0.0</v>
      </c>
    </row>
    <row r="12" ht="15.75" customHeight="1">
      <c r="A12" s="363" t="s">
        <v>900</v>
      </c>
      <c r="B12" s="363">
        <v>0.0</v>
      </c>
      <c r="C12" s="363">
        <v>337.0</v>
      </c>
      <c r="D12" s="363">
        <v>337.0</v>
      </c>
      <c r="E12" s="363">
        <v>337.0</v>
      </c>
      <c r="F12" s="363">
        <v>337.0</v>
      </c>
      <c r="G12" s="363">
        <v>337.0</v>
      </c>
      <c r="H12" s="363">
        <v>337.0</v>
      </c>
      <c r="I12" s="363">
        <v>337.0</v>
      </c>
      <c r="J12" s="363">
        <v>337.0</v>
      </c>
      <c r="K12" s="363">
        <v>337.0</v>
      </c>
      <c r="L12" s="363">
        <v>335.0</v>
      </c>
      <c r="M12" s="363">
        <v>325.0</v>
      </c>
      <c r="N12" s="363" t="s">
        <v>901</v>
      </c>
      <c r="O12" s="227">
        <v>0.0</v>
      </c>
    </row>
    <row r="13" ht="15.75" customHeight="1">
      <c r="A13" s="363" t="s">
        <v>902</v>
      </c>
      <c r="B13" s="363">
        <v>0.0</v>
      </c>
      <c r="C13" s="363">
        <v>100.0</v>
      </c>
      <c r="D13" s="363">
        <v>100.0</v>
      </c>
      <c r="E13" s="363" t="s">
        <v>903</v>
      </c>
      <c r="F13" s="363" t="s">
        <v>904</v>
      </c>
      <c r="G13" s="363">
        <v>50.0</v>
      </c>
      <c r="H13" s="363">
        <v>50.0</v>
      </c>
      <c r="I13" s="363">
        <v>50.0</v>
      </c>
      <c r="J13" s="363">
        <v>50.0</v>
      </c>
      <c r="K13" s="363">
        <v>50.0</v>
      </c>
      <c r="L13" s="363">
        <v>50.0</v>
      </c>
      <c r="M13" s="363">
        <v>200.0</v>
      </c>
      <c r="N13" s="363" t="s">
        <v>905</v>
      </c>
      <c r="O13" s="227">
        <v>0.0</v>
      </c>
    </row>
    <row r="14" ht="15.75" customHeight="1">
      <c r="B14" s="207"/>
      <c r="G14" s="130" t="s">
        <v>867</v>
      </c>
      <c r="N14" s="130" t="s">
        <v>867</v>
      </c>
      <c r="O14" s="37"/>
    </row>
    <row r="15" ht="15.75" customHeight="1">
      <c r="A15" s="365" t="s">
        <v>809</v>
      </c>
      <c r="B15" s="365" t="s">
        <v>223</v>
      </c>
      <c r="C15" s="365">
        <v>784.0</v>
      </c>
      <c r="D15" s="365">
        <v>784.0</v>
      </c>
      <c r="E15" s="365">
        <v>784.0</v>
      </c>
      <c r="F15" s="365">
        <v>784.0</v>
      </c>
      <c r="G15" s="365">
        <v>784.0</v>
      </c>
      <c r="H15" s="365">
        <v>784.0</v>
      </c>
      <c r="I15" s="365">
        <v>784.0</v>
      </c>
      <c r="J15" s="365">
        <v>784.0</v>
      </c>
      <c r="K15" s="365">
        <v>784.0</v>
      </c>
      <c r="L15" s="365">
        <v>784.0</v>
      </c>
      <c r="M15" s="365">
        <v>784.0</v>
      </c>
      <c r="N15" s="365">
        <v>784.0</v>
      </c>
      <c r="O15" s="227" t="s">
        <v>223</v>
      </c>
    </row>
    <row r="16" ht="15.75" customHeight="1">
      <c r="A16" s="365" t="s">
        <v>837</v>
      </c>
      <c r="B16" s="365">
        <v>18432.0</v>
      </c>
      <c r="C16" s="365">
        <v>334.0</v>
      </c>
      <c r="D16" s="365">
        <v>334.0</v>
      </c>
      <c r="E16" s="365">
        <v>334.0</v>
      </c>
      <c r="F16" s="365">
        <v>334.0</v>
      </c>
      <c r="G16" s="365">
        <v>334.0</v>
      </c>
      <c r="H16" s="365">
        <v>334.0</v>
      </c>
      <c r="I16" s="365">
        <v>334.0</v>
      </c>
      <c r="J16" s="365">
        <v>334.0</v>
      </c>
      <c r="K16" s="365">
        <v>334.0</v>
      </c>
      <c r="L16" s="365">
        <v>334.0</v>
      </c>
      <c r="M16" s="365">
        <v>334.0</v>
      </c>
      <c r="N16" s="365">
        <v>334.0</v>
      </c>
      <c r="O16" s="227">
        <v>18500.0</v>
      </c>
    </row>
    <row r="17" ht="15.75" customHeight="1">
      <c r="A17" s="365" t="s">
        <v>818</v>
      </c>
      <c r="B17" s="365">
        <v>25000.0</v>
      </c>
      <c r="C17" s="365">
        <v>205.0</v>
      </c>
      <c r="D17" s="365">
        <v>205.0</v>
      </c>
      <c r="E17" s="365">
        <v>205.0</v>
      </c>
      <c r="F17" s="365">
        <v>205.0</v>
      </c>
      <c r="G17" s="365">
        <v>205.0</v>
      </c>
      <c r="H17" s="365">
        <v>205.0</v>
      </c>
      <c r="I17" s="365">
        <v>205.0</v>
      </c>
      <c r="J17" s="365">
        <v>205.0</v>
      </c>
      <c r="K17" s="365">
        <v>205.0</v>
      </c>
      <c r="L17" s="365">
        <v>205.0</v>
      </c>
      <c r="M17" s="365">
        <v>205.0</v>
      </c>
      <c r="N17" s="365">
        <v>205.0</v>
      </c>
      <c r="O17" s="227">
        <v>25000.0</v>
      </c>
    </row>
    <row r="18" ht="15.75" customHeight="1">
      <c r="A18" s="365" t="s">
        <v>906</v>
      </c>
      <c r="B18" s="365">
        <v>0.0</v>
      </c>
      <c r="C18" s="365">
        <v>309.0</v>
      </c>
      <c r="D18" s="365">
        <v>309.0</v>
      </c>
      <c r="E18" s="365">
        <v>309.0</v>
      </c>
      <c r="F18" s="365">
        <v>309.0</v>
      </c>
      <c r="G18" s="365">
        <v>309.0</v>
      </c>
      <c r="H18" s="365">
        <v>309.0</v>
      </c>
      <c r="I18" s="365">
        <v>309.0</v>
      </c>
      <c r="J18" s="365">
        <v>309.0</v>
      </c>
      <c r="K18" s="365">
        <v>309.0</v>
      </c>
      <c r="L18" s="365">
        <v>309.0</v>
      </c>
      <c r="M18" s="365">
        <v>309.0</v>
      </c>
      <c r="N18" s="365" t="s">
        <v>907</v>
      </c>
      <c r="O18" s="227">
        <v>0.0</v>
      </c>
    </row>
    <row r="19" ht="15.75" customHeight="1">
      <c r="A19" s="365" t="s">
        <v>721</v>
      </c>
      <c r="B19" s="365" t="s">
        <v>223</v>
      </c>
      <c r="C19" s="365">
        <v>115.0</v>
      </c>
      <c r="D19" s="365">
        <v>122.0</v>
      </c>
      <c r="E19" s="365">
        <v>83.0</v>
      </c>
      <c r="F19" s="365">
        <v>80.0</v>
      </c>
      <c r="G19" s="365">
        <v>107.0</v>
      </c>
      <c r="H19" s="365">
        <v>135.0</v>
      </c>
      <c r="I19" s="365">
        <v>125.0</v>
      </c>
      <c r="J19" s="365">
        <v>158.0</v>
      </c>
      <c r="K19" s="365">
        <v>117.0</v>
      </c>
      <c r="L19" s="365">
        <v>101.0</v>
      </c>
      <c r="M19" s="365">
        <v>103.0</v>
      </c>
      <c r="N19" s="365">
        <v>108.0</v>
      </c>
      <c r="O19" s="227" t="s">
        <v>223</v>
      </c>
    </row>
    <row r="20" ht="15.75" customHeight="1">
      <c r="A20" s="365" t="s">
        <v>819</v>
      </c>
      <c r="B20" s="365" t="s">
        <v>223</v>
      </c>
      <c r="C20" s="365">
        <v>114.0</v>
      </c>
      <c r="D20" s="365">
        <v>166.0</v>
      </c>
      <c r="E20" s="365">
        <v>159.0</v>
      </c>
      <c r="F20" s="365">
        <v>262.0</v>
      </c>
      <c r="G20" s="365">
        <v>0.0</v>
      </c>
      <c r="H20" s="365">
        <v>0.0</v>
      </c>
      <c r="I20" s="365">
        <v>0.0</v>
      </c>
      <c r="J20" s="365">
        <v>0.0</v>
      </c>
      <c r="K20" s="365">
        <v>0.0</v>
      </c>
      <c r="L20" s="365">
        <v>0.0</v>
      </c>
      <c r="M20" s="365">
        <v>0.0</v>
      </c>
      <c r="N20" s="365">
        <v>101.0</v>
      </c>
      <c r="O20" s="227" t="s">
        <v>223</v>
      </c>
    </row>
    <row r="21" ht="15.75" customHeight="1">
      <c r="A21" s="365" t="s">
        <v>908</v>
      </c>
      <c r="B21" s="365">
        <v>0.0</v>
      </c>
      <c r="C21" s="365">
        <v>25.0</v>
      </c>
      <c r="D21" s="365">
        <v>40.0</v>
      </c>
      <c r="E21" s="365">
        <v>49.0</v>
      </c>
      <c r="F21" s="365">
        <v>64.0</v>
      </c>
      <c r="G21" s="365">
        <v>88.0</v>
      </c>
      <c r="H21" s="365">
        <v>95.0</v>
      </c>
      <c r="I21" s="365">
        <v>114.0</v>
      </c>
      <c r="J21" s="365">
        <v>139.0</v>
      </c>
      <c r="K21" s="365" t="s">
        <v>909</v>
      </c>
      <c r="L21" s="365">
        <v>220.0</v>
      </c>
      <c r="M21" s="365">
        <v>10800.0</v>
      </c>
      <c r="N21" s="365" t="s">
        <v>910</v>
      </c>
      <c r="O21" s="227">
        <v>450.0</v>
      </c>
    </row>
    <row r="22" ht="15.75" customHeight="1">
      <c r="A22" s="365" t="s">
        <v>911</v>
      </c>
      <c r="B22" s="365">
        <v>0.0</v>
      </c>
      <c r="C22" s="365">
        <v>111.0</v>
      </c>
      <c r="D22" s="365">
        <v>103.0</v>
      </c>
      <c r="E22" s="365">
        <v>102.0</v>
      </c>
      <c r="F22" s="365">
        <v>5525.0</v>
      </c>
      <c r="G22" s="365">
        <v>0.0</v>
      </c>
      <c r="H22" s="365">
        <v>15.0</v>
      </c>
      <c r="I22" s="365">
        <v>55.0</v>
      </c>
      <c r="J22" s="365">
        <v>400.0</v>
      </c>
      <c r="K22" s="365">
        <v>294.0</v>
      </c>
      <c r="L22" s="365" t="s">
        <v>912</v>
      </c>
      <c r="M22" s="365" t="s">
        <v>913</v>
      </c>
      <c r="N22" s="365" t="s">
        <v>914</v>
      </c>
      <c r="O22" s="227">
        <v>0.0</v>
      </c>
    </row>
    <row r="23" ht="15.75" customHeight="1">
      <c r="A23" s="365" t="s">
        <v>866</v>
      </c>
      <c r="B23" s="365">
        <v>70.0</v>
      </c>
      <c r="C23" s="365"/>
      <c r="D23" s="365"/>
      <c r="E23" s="365"/>
      <c r="F23" s="365"/>
      <c r="G23" s="365"/>
      <c r="H23" s="365"/>
      <c r="I23" s="365"/>
      <c r="J23" s="365"/>
      <c r="K23" s="365"/>
      <c r="L23" s="365"/>
      <c r="M23" s="365"/>
      <c r="N23" s="365" t="s">
        <v>915</v>
      </c>
      <c r="O23" s="227"/>
    </row>
    <row r="24" ht="15.75" customHeight="1">
      <c r="A24" s="365" t="s">
        <v>916</v>
      </c>
      <c r="B24" s="365">
        <v>8250.0</v>
      </c>
      <c r="C24" s="365">
        <v>0.0</v>
      </c>
      <c r="D24" s="365">
        <v>0.0</v>
      </c>
      <c r="E24" s="365">
        <v>0.0</v>
      </c>
      <c r="F24" s="365">
        <v>0.0</v>
      </c>
      <c r="G24" s="365">
        <v>0.0</v>
      </c>
      <c r="H24" s="365">
        <v>0.0</v>
      </c>
      <c r="I24" s="365">
        <v>136.0</v>
      </c>
      <c r="J24" s="365">
        <v>134.0</v>
      </c>
      <c r="K24" s="365">
        <v>145.5</v>
      </c>
      <c r="L24" s="365">
        <v>130.0</v>
      </c>
      <c r="M24" s="365">
        <v>130.0</v>
      </c>
      <c r="N24" s="365">
        <v>150.0</v>
      </c>
      <c r="O24" s="227">
        <v>8250.0</v>
      </c>
    </row>
    <row r="25" ht="15.75" customHeight="1">
      <c r="A25" s="365" t="s">
        <v>917</v>
      </c>
      <c r="B25" s="365"/>
      <c r="C25" s="365"/>
      <c r="D25" s="365"/>
      <c r="E25" s="365"/>
      <c r="F25" s="365"/>
      <c r="G25" s="366"/>
      <c r="H25" s="366"/>
      <c r="I25" s="366"/>
      <c r="J25" s="366"/>
      <c r="K25" s="365">
        <v>1107.0</v>
      </c>
      <c r="L25" s="365">
        <v>1350.0</v>
      </c>
      <c r="M25" s="365">
        <v>1350.0</v>
      </c>
      <c r="N25" s="365">
        <v>648.0</v>
      </c>
      <c r="O25" s="227"/>
    </row>
    <row r="26" ht="15.75" customHeight="1">
      <c r="A26" s="365" t="s">
        <v>844</v>
      </c>
      <c r="B26" s="365">
        <v>20000.0</v>
      </c>
      <c r="C26" s="365">
        <v>0.0</v>
      </c>
      <c r="D26" s="365">
        <v>0.0</v>
      </c>
      <c r="E26" s="365">
        <v>0.0</v>
      </c>
      <c r="F26" s="365">
        <v>0.0</v>
      </c>
      <c r="G26" s="365">
        <v>0.0</v>
      </c>
      <c r="H26" s="365">
        <v>0.0</v>
      </c>
      <c r="I26" s="365">
        <v>0.0</v>
      </c>
      <c r="J26" s="365">
        <v>0.0</v>
      </c>
      <c r="K26" s="365">
        <v>0.0</v>
      </c>
      <c r="L26" s="365">
        <v>0.0</v>
      </c>
      <c r="M26" s="365">
        <v>0.0</v>
      </c>
      <c r="N26" s="365">
        <v>5000.0</v>
      </c>
      <c r="O26" s="227">
        <v>20000.0</v>
      </c>
    </row>
    <row r="27" ht="15.75" customHeight="1">
      <c r="A27" s="365" t="s">
        <v>918</v>
      </c>
      <c r="B27" s="365" t="s">
        <v>223</v>
      </c>
      <c r="C27" s="365">
        <v>0.0</v>
      </c>
      <c r="D27" s="365">
        <v>0.0</v>
      </c>
      <c r="E27" s="365">
        <v>0.0</v>
      </c>
      <c r="F27" s="365">
        <v>0.0</v>
      </c>
      <c r="G27" s="365">
        <v>0.0</v>
      </c>
      <c r="H27" s="365">
        <v>0.0</v>
      </c>
      <c r="I27" s="365">
        <v>0.0</v>
      </c>
      <c r="J27" s="365">
        <v>0.0</v>
      </c>
      <c r="K27" s="365">
        <v>0.0</v>
      </c>
      <c r="L27" s="365">
        <v>0.0</v>
      </c>
      <c r="M27" s="365">
        <v>14.0</v>
      </c>
      <c r="N27" s="365">
        <v>147.0</v>
      </c>
      <c r="O27" s="365" t="s">
        <v>223</v>
      </c>
    </row>
    <row r="28" ht="15.75" customHeight="1">
      <c r="A28" s="227"/>
      <c r="B28" s="227"/>
      <c r="C28" s="227"/>
      <c r="D28" s="227"/>
      <c r="E28" s="227"/>
      <c r="F28" s="227"/>
      <c r="G28" s="227"/>
      <c r="H28" s="227"/>
      <c r="I28" s="227"/>
      <c r="J28" s="227"/>
      <c r="K28" s="227"/>
      <c r="L28" s="227"/>
      <c r="M28" s="227"/>
      <c r="N28" s="227"/>
      <c r="O28" s="227"/>
    </row>
    <row r="29" ht="15.75" customHeight="1">
      <c r="A29" s="365" t="s">
        <v>919</v>
      </c>
      <c r="B29" s="365">
        <v>0.0</v>
      </c>
      <c r="C29" s="365">
        <v>40.0</v>
      </c>
      <c r="D29" s="365">
        <v>39.0</v>
      </c>
      <c r="E29" s="365">
        <v>38.0</v>
      </c>
      <c r="F29" s="365">
        <v>37.0</v>
      </c>
      <c r="G29" s="365">
        <v>36.0</v>
      </c>
      <c r="H29" s="365">
        <v>35.0</v>
      </c>
      <c r="I29" s="365">
        <v>34.0</v>
      </c>
      <c r="J29" s="365">
        <v>33.0</v>
      </c>
      <c r="K29" s="365">
        <v>44.0</v>
      </c>
      <c r="L29" s="365">
        <v>43.0</v>
      </c>
      <c r="M29" s="365">
        <v>42.0</v>
      </c>
      <c r="N29" s="365" t="s">
        <v>920</v>
      </c>
      <c r="O29" s="227">
        <v>0.0</v>
      </c>
    </row>
    <row r="30" ht="15.75" customHeight="1">
      <c r="A30" s="365" t="s">
        <v>921</v>
      </c>
      <c r="B30" s="365">
        <v>0.0</v>
      </c>
      <c r="C30" s="365">
        <v>0.0</v>
      </c>
      <c r="D30" s="365">
        <v>115.0</v>
      </c>
      <c r="E30" s="365">
        <v>34.0</v>
      </c>
      <c r="F30" s="365">
        <v>50.0</v>
      </c>
      <c r="G30" s="365">
        <v>100.0</v>
      </c>
      <c r="H30" s="365">
        <v>150.0</v>
      </c>
      <c r="I30" s="365">
        <v>160.0</v>
      </c>
      <c r="J30" s="365">
        <v>147.0</v>
      </c>
      <c r="K30" s="365">
        <v>157.0</v>
      </c>
      <c r="L30" s="365">
        <v>166.0</v>
      </c>
      <c r="M30" s="365">
        <v>155.0</v>
      </c>
      <c r="N30" s="365" t="s">
        <v>922</v>
      </c>
      <c r="O30" s="227">
        <v>0.0</v>
      </c>
    </row>
    <row r="31" ht="15.75" customHeight="1">
      <c r="A31" s="227"/>
      <c r="B31" s="227"/>
      <c r="C31" s="227"/>
      <c r="D31" s="227"/>
      <c r="E31" s="227"/>
      <c r="F31" s="227"/>
      <c r="G31" s="227"/>
      <c r="H31" s="227"/>
      <c r="I31" s="227"/>
      <c r="J31" s="227"/>
      <c r="K31" s="227"/>
      <c r="L31" s="227"/>
      <c r="M31" s="227"/>
      <c r="N31" s="227"/>
      <c r="O31" s="227"/>
    </row>
    <row r="32" ht="15.75" customHeight="1">
      <c r="A32" s="227"/>
      <c r="B32" s="227"/>
      <c r="C32" s="227"/>
      <c r="D32" s="227"/>
      <c r="E32" s="227"/>
      <c r="F32" s="227"/>
      <c r="G32" s="227"/>
      <c r="H32" s="227"/>
      <c r="I32" s="227"/>
      <c r="J32" s="227"/>
      <c r="K32" s="227"/>
      <c r="L32" s="227"/>
      <c r="M32" s="227"/>
      <c r="N32" s="227"/>
      <c r="O32" s="227"/>
    </row>
    <row r="33" ht="15.75" customHeight="1">
      <c r="A33" s="227"/>
      <c r="B33" s="227"/>
      <c r="C33" s="227"/>
      <c r="D33" s="227"/>
      <c r="E33" s="227"/>
      <c r="F33" s="227"/>
      <c r="G33" s="227"/>
      <c r="H33" s="227"/>
      <c r="I33" s="227"/>
      <c r="J33" s="227"/>
      <c r="K33" s="227"/>
      <c r="L33" s="227"/>
      <c r="M33" s="227"/>
      <c r="N33" s="227"/>
      <c r="O33" s="227"/>
    </row>
    <row r="34" ht="15.75" customHeight="1">
      <c r="A34" s="227"/>
      <c r="B34" s="227"/>
      <c r="C34" s="227"/>
      <c r="D34" s="227"/>
      <c r="E34" s="227"/>
      <c r="F34" s="227"/>
      <c r="G34" s="227"/>
      <c r="H34" s="227"/>
      <c r="I34" s="227"/>
      <c r="J34" s="227"/>
      <c r="K34" s="227"/>
      <c r="L34" s="227"/>
      <c r="M34" s="227"/>
      <c r="N34" s="37"/>
      <c r="O34" s="227"/>
    </row>
    <row r="35" ht="15.75" customHeight="1">
      <c r="A35" s="227"/>
      <c r="B35" s="227">
        <f>Sum(B3:B30)</f>
        <v>346407</v>
      </c>
      <c r="C35" s="227">
        <f t="shared" ref="C35:N35" si="1">sum(C6:C32)</f>
        <v>3706</v>
      </c>
      <c r="D35" s="227">
        <f t="shared" si="1"/>
        <v>2934</v>
      </c>
      <c r="E35" s="227">
        <f t="shared" si="1"/>
        <v>3666</v>
      </c>
      <c r="F35" s="227">
        <f t="shared" si="1"/>
        <v>9194</v>
      </c>
      <c r="G35" s="227">
        <f t="shared" si="1"/>
        <v>2564</v>
      </c>
      <c r="H35" s="227">
        <f t="shared" si="1"/>
        <v>2689</v>
      </c>
      <c r="I35" s="227">
        <f t="shared" si="1"/>
        <v>3385</v>
      </c>
      <c r="J35" s="227">
        <f t="shared" si="1"/>
        <v>3270</v>
      </c>
      <c r="K35" s="227">
        <f t="shared" si="1"/>
        <v>4148.5</v>
      </c>
      <c r="L35" s="227">
        <f t="shared" si="1"/>
        <v>4322</v>
      </c>
      <c r="M35" s="227">
        <f t="shared" si="1"/>
        <v>15046</v>
      </c>
      <c r="N35" s="227">
        <f t="shared" si="1"/>
        <v>7639</v>
      </c>
      <c r="O35" s="227">
        <f>Sum(O5:O33)</f>
        <v>72315</v>
      </c>
    </row>
    <row r="36" ht="15.75" customHeight="1">
      <c r="A36" s="227"/>
      <c r="B36" s="227"/>
      <c r="C36" s="227"/>
      <c r="D36" s="227"/>
      <c r="E36" s="227"/>
      <c r="F36" s="227"/>
      <c r="G36" s="227"/>
      <c r="H36" s="227"/>
      <c r="I36" s="227"/>
      <c r="J36" s="227"/>
      <c r="K36" s="227"/>
      <c r="L36" s="227"/>
      <c r="M36" s="227"/>
      <c r="N36" s="37"/>
      <c r="O36" s="227"/>
    </row>
    <row r="37" ht="15.75" customHeight="1">
      <c r="A37" s="227"/>
      <c r="B37" s="227"/>
      <c r="C37" s="227"/>
      <c r="D37" s="227"/>
      <c r="E37" s="227"/>
      <c r="F37" s="227"/>
      <c r="G37" s="227"/>
      <c r="H37" s="227"/>
      <c r="I37" s="227"/>
      <c r="J37" s="227"/>
      <c r="K37" s="227"/>
      <c r="L37" s="227"/>
      <c r="M37" s="227"/>
      <c r="N37" s="37"/>
      <c r="O37" s="227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